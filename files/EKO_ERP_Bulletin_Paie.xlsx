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lletin de Paie" sheetId="1" state="visible" r:id="rId3"/>
    <sheet name="Paramètres" sheetId="2" state="visible" r:id="rId4"/>
    <sheet name="Registre Employés" sheetId="3" state="visible" r:id="rId5"/>
  </sheets>
  <definedNames>
    <definedName function="false" hidden="false" localSheetId="0" name="_xlnm.Print_Area" vbProcedure="false">'Bulletin de Paie'!$A$1:$H$46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<sst xmlns="http://schemas.openxmlformats.org/spreadsheetml/2006/main" count="164" uniqueCount="159">
  <si>
    <t xml:space="preserve">EKO ERP</t>
  </si>
  <si>
    <t xml:space="preserve">Système de Gestion des Ressources Humaines</t>
  </si>
  <si>
    <t xml:space="preserve">BULLETIN DE PAIE</t>
  </si>
  <si>
    <t xml:space="preserve">Société :</t>
  </si>
  <si>
    <t xml:space="preserve">EKO SARL</t>
  </si>
  <si>
    <t xml:space="preserve">Nom &amp; Prénom :</t>
  </si>
  <si>
    <t xml:space="preserve">TIMITÉ Ahmed Abdoul-Razak</t>
  </si>
  <si>
    <t xml:space="preserve">Adresse :</t>
  </si>
  <si>
    <t xml:space="preserve">Abidjan, Plateau — Côte d'Ivoire</t>
  </si>
  <si>
    <t xml:space="preserve">Poste :</t>
  </si>
  <si>
    <t xml:space="preserve">Responsable Support &amp; Tracking</t>
  </si>
  <si>
    <t xml:space="preserve">RCCM :</t>
  </si>
  <si>
    <t xml:space="preserve">CI-ABJ-2024-B-XXXXX</t>
  </si>
  <si>
    <t xml:space="preserve">Matricule :</t>
  </si>
  <si>
    <t xml:space="preserve">EKO-2024-001</t>
  </si>
  <si>
    <t xml:space="preserve">N° Employeur CNPS :</t>
  </si>
  <si>
    <t xml:space="preserve">1234567-X</t>
  </si>
  <si>
    <t xml:space="preserve">N° CNPS Salarié :</t>
  </si>
  <si>
    <t xml:space="preserve">CI-CNPS-000000</t>
  </si>
  <si>
    <t xml:space="preserve">Email :</t>
  </si>
  <si>
    <t xml:space="preserve">rh@ekosarl.ci</t>
  </si>
  <si>
    <t xml:space="preserve">Catégorie :</t>
  </si>
  <si>
    <t xml:space="preserve">Cadre — Catégorie IV</t>
  </si>
  <si>
    <t xml:space="preserve">Période de paie :</t>
  </si>
  <si>
    <t xml:space="preserve">Juin 2026</t>
  </si>
  <si>
    <t xml:space="preserve">Date de paiement :</t>
  </si>
  <si>
    <t xml:space="preserve">Ancienneté :</t>
  </si>
  <si>
    <t xml:space="preserve">Date d'embauche :</t>
  </si>
  <si>
    <t xml:space="preserve">01/06/2024</t>
  </si>
  <si>
    <t xml:space="preserve">DÉSIGNATION</t>
  </si>
  <si>
    <t xml:space="preserve">BASE / TAUX</t>
  </si>
  <si>
    <t xml:space="preserve">QTÉ / HRS</t>
  </si>
  <si>
    <t xml:space="preserve">GAIN (FCFA)</t>
  </si>
  <si>
    <t xml:space="preserve">RETENUE (FCFA)</t>
  </si>
  <si>
    <t xml:space="preserve">NOTE</t>
  </si>
  <si>
    <t xml:space="preserve">  I — RÉMUNÉRATION DE BASE &amp; COMPLÉMENTS</t>
  </si>
  <si>
    <t xml:space="preserve">Salaire de base catégoriel (Cadre IV)</t>
  </si>
  <si>
    <t xml:space="preserve">CDI — Grille CCNI</t>
  </si>
  <si>
    <t xml:space="preserve">Prime d'ancienneté (2 ans × 2% du SB)</t>
  </si>
  <si>
    <t xml:space="preserve">Art. CCNI Ancienneté</t>
  </si>
  <si>
    <t xml:space="preserve">Indemnité de transport (forfait)</t>
  </si>
  <si>
    <t xml:space="preserve">Plafond légal exonéré CNPS</t>
  </si>
  <si>
    <t xml:space="preserve">Indemnité de logement (30% SB)</t>
  </si>
  <si>
    <t xml:space="preserve">Avantage imposable</t>
  </si>
  <si>
    <t xml:space="preserve">Heures supplémentaires (majoration 25%)</t>
  </si>
  <si>
    <t xml:space="preserve">173.33h base légale</t>
  </si>
  <si>
    <t xml:space="preserve">Prime de rendement / performance</t>
  </si>
  <si>
    <t xml:space="preserve">Selon évaluation mensuelle</t>
  </si>
  <si>
    <t xml:space="preserve">Allocation familiale CNPS (2 enfants)</t>
  </si>
  <si>
    <t xml:space="preserve">Versée par CNPS via employeur</t>
  </si>
  <si>
    <t xml:space="preserve">TOTAL BRUT</t>
  </si>
  <si>
    <t xml:space="preserve">  II — COTISATIONS SOCIALES (CNPS)</t>
  </si>
  <si>
    <t xml:space="preserve">Cotisation retraite CNPS — Part salarié (6,3%)</t>
  </si>
  <si>
    <t xml:space="preserve">6,30%</t>
  </si>
  <si>
    <t xml:space="preserve">Plafond: 3 375 000 FCFA/mois</t>
  </si>
  <si>
    <t xml:space="preserve">Cotisation retraite CNPS — Part patronale (7,7%)</t>
  </si>
  <si>
    <t xml:space="preserve">7,70%</t>
  </si>
  <si>
    <t xml:space="preserve">À la charge de l'employeur</t>
  </si>
  <si>
    <t xml:space="preserve">Prestations familiales + Maternité (5,75%) — Employeur</t>
  </si>
  <si>
    <t xml:space="preserve">5,75%</t>
  </si>
  <si>
    <t xml:space="preserve">Charge exclusive employeur</t>
  </si>
  <si>
    <t xml:space="preserve">Accidents du travail / Maladies prof. (2%) — Employeur</t>
  </si>
  <si>
    <t xml:space="preserve">2,00%</t>
  </si>
  <si>
    <t xml:space="preserve">Taux secteur tertiaire</t>
  </si>
  <si>
    <t xml:space="preserve">  III — IMPÔT SUR TRAITEMENTS &amp; SALAIRES (ITS)</t>
  </si>
  <si>
    <t xml:space="preserve">Base imposable ITS (Brut − CNPS salarié)</t>
  </si>
  <si>
    <t xml:space="preserve">Art. 116 CGI</t>
  </si>
  <si>
    <t xml:space="preserve">Déduction forfaitaire frais professionnels (20%)</t>
  </si>
  <si>
    <t xml:space="preserve">20,00%</t>
  </si>
  <si>
    <t xml:space="preserve">Plafond: 1 500 000 FCFA/an</t>
  </si>
  <si>
    <t xml:space="preserve">Revenu net imposable</t>
  </si>
  <si>
    <t xml:space="preserve">Base de calcul ITS</t>
  </si>
  <si>
    <t xml:space="preserve">Impôt sur Salaires (IS) — 1,5%</t>
  </si>
  <si>
    <t xml:space="preserve">1,50%</t>
  </si>
  <si>
    <t xml:space="preserve">Prélevé sur revenu net imposable</t>
  </si>
  <si>
    <t xml:space="preserve">Contribution Nationale (CN) — taux progressif</t>
  </si>
  <si>
    <t xml:space="preserve">CN après déduction 20%</t>
  </si>
  <si>
    <t xml:space="preserve">IGR — Quotient familial (2 parts, 1 conjoint)</t>
  </si>
  <si>
    <t xml:space="preserve">Parts: 2 (célibataire) ou plus si enfants</t>
  </si>
  <si>
    <t xml:space="preserve">TOTAL RETENUES SALARIALES</t>
  </si>
  <si>
    <t xml:space="preserve">NET À PAYER</t>
  </si>
  <si>
    <t xml:space="preserve">Coût total employeur (Brut + Charges patronales)</t>
  </si>
  <si>
    <t xml:space="preserve">Le Directeur des Ressources Humaines</t>
  </si>
  <si>
    <t xml:space="preserve">Le Salarié (Lu et approuvé)</t>
  </si>
  <si>
    <t xml:space="preserve">Date &amp; Cachet :</t>
  </si>
  <si>
    <t xml:space="preserve">Signature :</t>
  </si>
  <si>
    <t xml:space="preserve">EKO ERP — Bulletin généré automatiquement | Conforme Code du Travail CI (Loi n°2015-532) &amp; CNPS 2025 | Conservez ce document</t>
  </si>
  <si>
    <t xml:space="preserve">EKO ERP — Paramètres RH &amp; Fiscaux (Côte d'Ivoire 2025-2026)</t>
  </si>
  <si>
    <t xml:space="preserve">  SMIG &amp; DURÉE DU TRAVAIL</t>
  </si>
  <si>
    <t xml:space="preserve">SMIG mensuel (depuis jan. 2023)</t>
  </si>
  <si>
    <t xml:space="preserve">Décret n°2022-986</t>
  </si>
  <si>
    <t xml:space="preserve">Heures légales par semaine</t>
  </si>
  <si>
    <t xml:space="preserve">Art. Code du Travail</t>
  </si>
  <si>
    <t xml:space="preserve">Heures légales par mois</t>
  </si>
  <si>
    <t xml:space="preserve">40h × 52/12</t>
  </si>
  <si>
    <t xml:space="preserve">  COTISATIONS CNPS (taux 2025)</t>
  </si>
  <si>
    <t xml:space="preserve">Retraite — taux salarié</t>
  </si>
  <si>
    <t xml:space="preserve">6,3% — CNPS</t>
  </si>
  <si>
    <t xml:space="preserve">Retraite — taux patronal</t>
  </si>
  <si>
    <t xml:space="preserve">7,7% — CNPS</t>
  </si>
  <si>
    <t xml:space="preserve">Prestations familiales + Maternité (patronal)</t>
  </si>
  <si>
    <t xml:space="preserve">5,75% (dont 0,75% maternité)</t>
  </si>
  <si>
    <t xml:space="preserve">Accidents du travail — tertiaire (patronal)</t>
  </si>
  <si>
    <t xml:space="preserve">2% — Secteur tertiaire</t>
  </si>
  <si>
    <t xml:space="preserve">Plafond mensuel cotisation retraite</t>
  </si>
  <si>
    <t xml:space="preserve">45 × SMIG (révisé 2025)</t>
  </si>
  <si>
    <t xml:space="preserve">Plafond mensuel PF + AT/MP</t>
  </si>
  <si>
    <t xml:space="preserve">Plafond annuel: 840 000 FCFA</t>
  </si>
  <si>
    <t xml:space="preserve">  FISCALITÉ — ITS (Réforme 2024)</t>
  </si>
  <si>
    <t xml:space="preserve">Taux IS (Impôt sur Salaires)</t>
  </si>
  <si>
    <t xml:space="preserve">1,5% sur revenu net imposable</t>
  </si>
  <si>
    <t xml:space="preserve">Déduction forfaitaire frais pro.</t>
  </si>
  <si>
    <t xml:space="preserve">20% (plafond 1 500 000 FCFA/an)</t>
  </si>
  <si>
    <t xml:space="preserve">Tranche CN 1 (≤ 300 000 FCFA)</t>
  </si>
  <si>
    <t xml:space="preserve">1,5%</t>
  </si>
  <si>
    <t xml:space="preserve">Tranche CN 2 (300 001 – 600 000 FCFA)</t>
  </si>
  <si>
    <t xml:space="preserve">3%</t>
  </si>
  <si>
    <t xml:space="preserve">Tranche CN 3 (&gt; 600 000 FCFA)</t>
  </si>
  <si>
    <t xml:space="preserve">5%</t>
  </si>
  <si>
    <t xml:space="preserve">  CONGÉS &amp; ANCIENNETÉ</t>
  </si>
  <si>
    <t xml:space="preserve">Congés payés minimum (jours/mois)</t>
  </si>
  <si>
    <t xml:space="preserve">24 jours ouvrables/an</t>
  </si>
  <si>
    <t xml:space="preserve">Prime ancienneté (% SB par année)</t>
  </si>
  <si>
    <t xml:space="preserve">2% par an (CCNI)</t>
  </si>
  <si>
    <t xml:space="preserve">  LÉGENDE COULEURS</t>
  </si>
  <si>
    <t xml:space="preserve">Texte bleu</t>
  </si>
  <si>
    <t xml:space="preserve">Valeur saisie manuellement (input)</t>
  </si>
  <si>
    <t xml:space="preserve">Texte noir</t>
  </si>
  <si>
    <t xml:space="preserve">Formule calculée automatiquement</t>
  </si>
  <si>
    <t xml:space="preserve">Fond jaune</t>
  </si>
  <si>
    <t xml:space="preserve">Zone d'alerte / saisie requise</t>
  </si>
  <si>
    <t xml:space="preserve">Fond vert</t>
  </si>
  <si>
    <t xml:space="preserve">Net à payer</t>
  </si>
  <si>
    <t xml:space="preserve">EKO ERP — Registre des Employés</t>
  </si>
  <si>
    <t xml:space="preserve">Matricule</t>
  </si>
  <si>
    <t xml:space="preserve">Nom</t>
  </si>
  <si>
    <t xml:space="preserve">Prénom</t>
  </si>
  <si>
    <t xml:space="preserve">Catégorie</t>
  </si>
  <si>
    <t xml:space="preserve">Salaire Base</t>
  </si>
  <si>
    <t xml:space="preserve">N° CNPS</t>
  </si>
  <si>
    <t xml:space="preserve">Date Embauche</t>
  </si>
  <si>
    <t xml:space="preserve">Ancienneté (ans)</t>
  </si>
  <si>
    <t xml:space="preserve">Statut</t>
  </si>
  <si>
    <t xml:space="preserve">TIMITÉ</t>
  </si>
  <si>
    <t xml:space="preserve">Ahmed Abdoul-Razak</t>
  </si>
  <si>
    <t xml:space="preserve">Cadre IV</t>
  </si>
  <si>
    <t xml:space="preserve">Actif</t>
  </si>
  <si>
    <t xml:space="preserve">EKO-2024-002</t>
  </si>
  <si>
    <t xml:space="preserve">KOUASSI</t>
  </si>
  <si>
    <t xml:space="preserve">Aya Marguerite</t>
  </si>
  <si>
    <t xml:space="preserve">Technicien II</t>
  </si>
  <si>
    <t xml:space="preserve">CI-CNPS-000001</t>
  </si>
  <si>
    <t xml:space="preserve">15/03/2023</t>
  </si>
  <si>
    <t xml:space="preserve">EKO-2024-003</t>
  </si>
  <si>
    <t xml:space="preserve">DIABATÉ</t>
  </si>
  <si>
    <t xml:space="preserve">Moussa</t>
  </si>
  <si>
    <t xml:space="preserve">Support I</t>
  </si>
  <si>
    <t xml:space="preserve">CI-CNPS-000002</t>
  </si>
  <si>
    <t xml:space="preserve">01/09/2022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</si>
</sst>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FCFA&quot;;\(#,##0&quot; FCFA)&quot;;\-"/>
    <numFmt numFmtId="166" formatCode="General"/>
    <numFmt numFmtId="167" formatCode="0.0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9"/>
      <color rgb="FFA8D8E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555555"/>
      <name val="Arial"/>
      <family val="0"/>
      <charset val="1"/>
    </font>
    <font>
      <sz val="8"/>
      <color rgb="FF222222"/>
      <name val="Arial"/>
      <family val="0"/>
      <charset val="1"/>
    </font>
    <font>
      <b val="true"/>
      <sz val="8"/>
      <color rgb="FF0D737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8"/>
      <name val="Arial"/>
      <family val="0"/>
      <charset val="1"/>
    </font>
    <font>
      <i val="true"/>
      <sz val="7"/>
      <color rgb="FF888888"/>
      <name val="Arial"/>
      <family val="0"/>
      <charset val="1"/>
    </font>
    <font>
      <b val="true"/>
      <sz val="9"/>
      <color rgb="FF1A2B4A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1A2B4A"/>
      <name val="Arial"/>
      <family val="0"/>
      <charset val="1"/>
    </font>
    <font>
      <b val="true"/>
      <sz val="8"/>
      <color rgb="FF1A2B4A"/>
      <name val="Arial"/>
      <family val="0"/>
      <charset val="1"/>
    </font>
    <font>
      <b val="true"/>
      <sz val="9"/>
      <color rgb="FFC05000"/>
      <name val="Arial"/>
      <family val="0"/>
      <charset val="1"/>
    </font>
    <font>
      <sz val="9"/>
      <color rgb="FF333333"/>
      <name val="Arial"/>
      <family val="0"/>
      <charset val="1"/>
    </font>
    <font>
      <sz val="8"/>
      <color rgb="FF888888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8"/>
      <color rgb="FF0000FF"/>
      <name val="Arial"/>
      <family val="0"/>
      <charset val="1"/>
    </font>
    <font>
      <i val="true"/>
      <sz val="7"/>
      <color rgb="FF555555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3CC"/>
      <name val="Arial"/>
      <family val="0"/>
      <charset val="1"/>
    </font>
    <font>
      <b val="true"/>
      <sz val="8"/>
      <color rgb="FFE5F7E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B4A"/>
        <bgColor rgb="FF222222"/>
      </patternFill>
    </fill>
    <fill>
      <patternFill patternType="solid">
        <fgColor rgb="FF0D7377"/>
        <bgColor rgb="FF008080"/>
      </patternFill>
    </fill>
    <fill>
      <patternFill patternType="solid">
        <fgColor rgb="FFF5F6FA"/>
        <bgColor rgb="FFFFFFFF"/>
      </patternFill>
    </fill>
    <fill>
      <patternFill patternType="solid">
        <fgColor rgb="FFFFFFFF"/>
        <bgColor rgb="FFF5F6FA"/>
      </patternFill>
    </fill>
    <fill>
      <patternFill patternType="solid">
        <fgColor rgb="FFD6F0F0"/>
        <bgColor rgb="FFE5F7EE"/>
      </patternFill>
    </fill>
    <fill>
      <patternFill patternType="solid">
        <fgColor rgb="FFFFF3CC"/>
        <bgColor rgb="FFFFE5E5"/>
      </patternFill>
    </fill>
    <fill>
      <patternFill patternType="solid">
        <fgColor rgb="FFFFE5E5"/>
        <bgColor rgb="FFFFF3CC"/>
      </patternFill>
    </fill>
    <fill>
      <patternFill patternType="solid">
        <fgColor rgb="FFE5F7EE"/>
        <bgColor rgb="FFF5F6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0D7377"/>
      </left>
      <right style="thin">
        <color rgb="FF0D7377"/>
      </right>
      <top style="thin">
        <color rgb="FF0D7377"/>
      </top>
      <bottom style="thin">
        <color rgb="FF0D7377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0D7377"/>
      </left>
      <right style="thin">
        <color rgb="FFB0BEC5"/>
      </right>
      <top style="thin">
        <color rgb="FF0D7377"/>
      </top>
      <bottom style="thin">
        <color rgb="FF0D737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0BEC5"/>
      <rgbColor rgb="FF888888"/>
      <rgbColor rgb="FF9999FF"/>
      <rgbColor rgb="FF993366"/>
      <rgbColor rgb="FFFFF3CC"/>
      <rgbColor rgb="FFD6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7EE"/>
      <rgbColor rgb="FFF5F6FA"/>
      <rgbColor rgb="FFFFFF99"/>
      <rgbColor rgb="FFA8D8EA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A2B4A"/>
      <rgbColor rgb="FF339966"/>
      <rgbColor rgb="FF003300"/>
      <rgbColor rgb="FF222222"/>
      <rgbColor rgb="FFC050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5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.75" hidden="false" customHeight="true" outlineLevel="0" collapsed="false">
      <c r="B6" s="4" t="s">
        <v>3</v>
      </c>
      <c r="C6" s="5" t="s">
        <v>4</v>
      </c>
      <c r="E6" s="4" t="s">
        <v>5</v>
      </c>
      <c r="F6" s="5" t="s">
        <v>6</v>
      </c>
    </row>
    <row r="7" customFormat="false" ht="15.75" hidden="false" customHeight="true" outlineLevel="0" collapsed="false">
      <c r="B7" s="4" t="s">
        <v>7</v>
      </c>
      <c r="C7" s="5" t="s">
        <v>8</v>
      </c>
      <c r="E7" s="4" t="s">
        <v>9</v>
      </c>
      <c r="F7" s="5" t="s">
        <v>10</v>
      </c>
    </row>
    <row r="8" customFormat="false" ht="15.75" hidden="false" customHeight="true" outlineLevel="0" collapsed="false">
      <c r="B8" s="4" t="s">
        <v>11</v>
      </c>
      <c r="C8" s="5" t="s">
        <v>12</v>
      </c>
      <c r="E8" s="4" t="s">
        <v>13</v>
      </c>
      <c r="F8" s="5" t="s">
        <v>14</v>
      </c>
    </row>
    <row r="9" customFormat="false" ht="15.75" hidden="false" customHeight="true" outlineLevel="0" collapsed="false">
      <c r="B9" s="4" t="s">
        <v>15</v>
      </c>
      <c r="C9" s="5" t="s">
        <v>16</v>
      </c>
      <c r="E9" s="4" t="s">
        <v>17</v>
      </c>
      <c r="F9" s="5" t="s">
        <v>18</v>
      </c>
    </row>
    <row r="10" customFormat="false" ht="15.75" hidden="false" customHeight="true" outlineLevel="0" collapsed="false">
      <c r="B10" s="4" t="s">
        <v>19</v>
      </c>
      <c r="C10" s="5" t="s">
        <v>20</v>
      </c>
      <c r="E10" s="4" t="s">
        <v>21</v>
      </c>
      <c r="F10" s="5" t="s">
        <v>22</v>
      </c>
    </row>
    <row r="11" customFormat="false" ht="13.5" hidden="false" customHeight="true" outlineLevel="0" collapsed="false">
      <c r="B11" s="6" t="s">
        <v>23</v>
      </c>
      <c r="C11" s="7" t="s">
        <v>24</v>
      </c>
      <c r="D11" s="6" t="s">
        <v>25</v>
      </c>
      <c r="E11" s="6" t="s">
        <v>26</v>
      </c>
      <c r="F11" s="6" t="s">
        <v>27</v>
      </c>
      <c r="G11" s="7" t="s">
        <v>28</v>
      </c>
    </row>
    <row r="13" customFormat="false" ht="18" hidden="false" customHeight="true" outlineLevel="0" collapsed="false">
      <c r="A13" s="8"/>
      <c r="B13" s="8" t="s">
        <v>29</v>
      </c>
      <c r="C13" s="8" t="s">
        <v>30</v>
      </c>
      <c r="D13" s="8" t="s">
        <v>31</v>
      </c>
      <c r="E13" s="8" t="s">
        <v>32</v>
      </c>
      <c r="F13" s="8" t="s">
        <v>33</v>
      </c>
      <c r="G13" s="8" t="s">
        <v>34</v>
      </c>
      <c r="H13" s="8"/>
    </row>
    <row r="14" customFormat="false" ht="15" hidden="false" customHeight="true" outlineLevel="0" collapsed="false">
      <c r="A14" s="9"/>
      <c r="B14" s="10" t="s">
        <v>35</v>
      </c>
      <c r="C14" s="10"/>
      <c r="D14" s="10"/>
      <c r="E14" s="10"/>
      <c r="F14" s="10"/>
      <c r="G14" s="10"/>
      <c r="H14" s="9"/>
    </row>
    <row r="15" customFormat="false" ht="15" hidden="false" customHeight="true" outlineLevel="0" collapsed="false">
      <c r="A15" s="11"/>
      <c r="B15" s="12" t="s">
        <v>36</v>
      </c>
      <c r="C15" s="13" t="n">
        <v>350000</v>
      </c>
      <c r="D15" s="14" t="n">
        <v>1</v>
      </c>
      <c r="E15" s="15" t="n">
        <f aca="false">C15*D15</f>
        <v>350000</v>
      </c>
      <c r="F15" s="15"/>
      <c r="G15" s="16" t="s">
        <v>37</v>
      </c>
      <c r="H15" s="11"/>
    </row>
    <row r="16" customFormat="false" ht="15" hidden="false" customHeight="true" outlineLevel="0" collapsed="false">
      <c r="A16" s="17"/>
      <c r="B16" s="18" t="s">
        <v>38</v>
      </c>
      <c r="C16" s="19" t="n">
        <f aca="false">C15*2%*D16</f>
        <v>14000</v>
      </c>
      <c r="D16" s="20" t="n">
        <v>2</v>
      </c>
      <c r="E16" s="21" t="n">
        <f aca="false">C16</f>
        <v>14000</v>
      </c>
      <c r="F16" s="21"/>
      <c r="G16" s="22" t="s">
        <v>39</v>
      </c>
      <c r="H16" s="17"/>
    </row>
    <row r="17" customFormat="false" ht="15" hidden="false" customHeight="true" outlineLevel="0" collapsed="false">
      <c r="A17" s="11"/>
      <c r="B17" s="12" t="s">
        <v>40</v>
      </c>
      <c r="C17" s="13" t="n">
        <v>30000</v>
      </c>
      <c r="D17" s="14" t="n">
        <v>1</v>
      </c>
      <c r="E17" s="15" t="n">
        <f aca="false">C17*D17</f>
        <v>30000</v>
      </c>
      <c r="F17" s="15"/>
      <c r="G17" s="16" t="s">
        <v>41</v>
      </c>
      <c r="H17" s="11"/>
    </row>
    <row r="18" customFormat="false" ht="15" hidden="false" customHeight="true" outlineLevel="0" collapsed="false">
      <c r="A18" s="17"/>
      <c r="B18" s="18" t="s">
        <v>42</v>
      </c>
      <c r="C18" s="19" t="n">
        <f aca="false">C15*30%</f>
        <v>105000</v>
      </c>
      <c r="D18" s="20" t="n">
        <v>1</v>
      </c>
      <c r="E18" s="21" t="n">
        <f aca="false">C18*D18</f>
        <v>105000</v>
      </c>
      <c r="F18" s="21"/>
      <c r="G18" s="22" t="s">
        <v>43</v>
      </c>
      <c r="H18" s="17"/>
    </row>
    <row r="19" customFormat="false" ht="15" hidden="false" customHeight="true" outlineLevel="0" collapsed="false">
      <c r="A19" s="11"/>
      <c r="B19" s="12" t="s">
        <v>44</v>
      </c>
      <c r="C19" s="23" t="n">
        <f aca="false">C15/173.33*1.25</f>
        <v>2524.08700167311</v>
      </c>
      <c r="D19" s="14" t="n">
        <v>8</v>
      </c>
      <c r="E19" s="15" t="n">
        <f aca="false">C19*D19</f>
        <v>20192.6960133849</v>
      </c>
      <c r="F19" s="15"/>
      <c r="G19" s="16" t="s">
        <v>45</v>
      </c>
      <c r="H19" s="11"/>
    </row>
    <row r="20" customFormat="false" ht="15" hidden="false" customHeight="true" outlineLevel="0" collapsed="false">
      <c r="A20" s="17"/>
      <c r="B20" s="18" t="s">
        <v>46</v>
      </c>
      <c r="C20" s="24" t="n">
        <v>25000</v>
      </c>
      <c r="D20" s="20" t="n">
        <v>1</v>
      </c>
      <c r="E20" s="21" t="n">
        <f aca="false">C20*D20</f>
        <v>25000</v>
      </c>
      <c r="F20" s="21"/>
      <c r="G20" s="22" t="s">
        <v>47</v>
      </c>
      <c r="H20" s="17"/>
    </row>
    <row r="21" customFormat="false" ht="15" hidden="false" customHeight="true" outlineLevel="0" collapsed="false">
      <c r="A21" s="11"/>
      <c r="B21" s="12" t="s">
        <v>48</v>
      </c>
      <c r="C21" s="13" t="n">
        <v>3500</v>
      </c>
      <c r="D21" s="14" t="n">
        <v>2</v>
      </c>
      <c r="E21" s="15" t="n">
        <f aca="false">C21*D21</f>
        <v>7000</v>
      </c>
      <c r="F21" s="15"/>
      <c r="G21" s="16" t="s">
        <v>49</v>
      </c>
      <c r="H21" s="11"/>
    </row>
    <row r="22" customFormat="false" ht="15.75" hidden="false" customHeight="true" outlineLevel="0" collapsed="false">
      <c r="B22" s="25" t="s">
        <v>50</v>
      </c>
      <c r="C22" s="25"/>
      <c r="D22" s="25"/>
      <c r="E22" s="26" t="n">
        <f aca="false">SUM(E15:E21)</f>
        <v>551192.696013385</v>
      </c>
      <c r="F22" s="27"/>
      <c r="G22" s="27"/>
    </row>
    <row r="23" customFormat="false" ht="15" hidden="false" customHeight="true" outlineLevel="0" collapsed="false">
      <c r="A23" s="9"/>
      <c r="B23" s="10" t="s">
        <v>51</v>
      </c>
      <c r="C23" s="10"/>
      <c r="D23" s="10"/>
      <c r="E23" s="10"/>
      <c r="F23" s="10"/>
      <c r="G23" s="10"/>
      <c r="H23" s="9"/>
    </row>
    <row r="24" customFormat="false" ht="15" hidden="false" customHeight="true" outlineLevel="0" collapsed="false">
      <c r="A24" s="11"/>
      <c r="B24" s="12" t="s">
        <v>52</v>
      </c>
      <c r="C24" s="23" t="s">
        <v>53</v>
      </c>
      <c r="D24" s="14"/>
      <c r="E24" s="15"/>
      <c r="F24" s="15" t="n">
        <f aca="false">MIN(E22,3375000)*6.3%</f>
        <v>34725.1398488432</v>
      </c>
      <c r="G24" s="16" t="s">
        <v>54</v>
      </c>
      <c r="H24" s="11"/>
    </row>
    <row r="25" customFormat="false" ht="15" hidden="false" customHeight="true" outlineLevel="0" collapsed="false">
      <c r="A25" s="17"/>
      <c r="B25" s="18" t="s">
        <v>55</v>
      </c>
      <c r="C25" s="19" t="s">
        <v>56</v>
      </c>
      <c r="D25" s="20"/>
      <c r="E25" s="28" t="n">
        <f aca="false">MIN(E22,3375000)*7.7%</f>
        <v>42441.8375930306</v>
      </c>
      <c r="F25" s="21"/>
      <c r="G25" s="22" t="s">
        <v>57</v>
      </c>
      <c r="H25" s="17"/>
    </row>
    <row r="26" customFormat="false" ht="15" hidden="false" customHeight="true" outlineLevel="0" collapsed="false">
      <c r="A26" s="11"/>
      <c r="B26" s="12" t="s">
        <v>58</v>
      </c>
      <c r="C26" s="23" t="s">
        <v>59</v>
      </c>
      <c r="D26" s="14"/>
      <c r="E26" s="29" t="n">
        <f aca="false">MIN(E22,70000)*5.75%</f>
        <v>4025</v>
      </c>
      <c r="F26" s="15"/>
      <c r="G26" s="16" t="s">
        <v>60</v>
      </c>
      <c r="H26" s="11"/>
    </row>
    <row r="27" customFormat="false" ht="15" hidden="false" customHeight="true" outlineLevel="0" collapsed="false">
      <c r="A27" s="17"/>
      <c r="B27" s="18" t="s">
        <v>61</v>
      </c>
      <c r="C27" s="19" t="s">
        <v>62</v>
      </c>
      <c r="D27" s="20"/>
      <c r="E27" s="28" t="n">
        <f aca="false">MIN(E22,70000)*2%</f>
        <v>1400</v>
      </c>
      <c r="F27" s="21"/>
      <c r="G27" s="22" t="s">
        <v>63</v>
      </c>
      <c r="H27" s="17"/>
    </row>
    <row r="28" customFormat="false" ht="15" hidden="false" customHeight="true" outlineLevel="0" collapsed="false">
      <c r="A28" s="9"/>
      <c r="B28" s="10" t="s">
        <v>64</v>
      </c>
      <c r="C28" s="10"/>
      <c r="D28" s="10"/>
      <c r="E28" s="10"/>
      <c r="F28" s="10"/>
      <c r="G28" s="10"/>
      <c r="H28" s="9"/>
    </row>
    <row r="29" customFormat="false" ht="15" hidden="false" customHeight="true" outlineLevel="0" collapsed="false">
      <c r="A29" s="11"/>
      <c r="B29" s="12" t="s">
        <v>65</v>
      </c>
      <c r="C29" s="23"/>
      <c r="D29" s="14"/>
      <c r="E29" s="15" t="n">
        <f aca="false">E22-E24</f>
        <v>551192.696013385</v>
      </c>
      <c r="F29" s="15"/>
      <c r="G29" s="16" t="s">
        <v>66</v>
      </c>
      <c r="H29" s="11"/>
    </row>
    <row r="30" customFormat="false" ht="15" hidden="false" customHeight="true" outlineLevel="0" collapsed="false">
      <c r="A30" s="17"/>
      <c r="B30" s="18" t="s">
        <v>67</v>
      </c>
      <c r="C30" s="19" t="s">
        <v>68</v>
      </c>
      <c r="D30" s="20"/>
      <c r="E30" s="21" t="n">
        <f aca="false">E29*20%</f>
        <v>110238.539202677</v>
      </c>
      <c r="F30" s="21"/>
      <c r="G30" s="22" t="s">
        <v>69</v>
      </c>
      <c r="H30" s="17"/>
    </row>
    <row r="31" customFormat="false" ht="15" hidden="false" customHeight="true" outlineLevel="0" collapsed="false">
      <c r="A31" s="11"/>
      <c r="B31" s="12" t="s">
        <v>70</v>
      </c>
      <c r="C31" s="23"/>
      <c r="D31" s="14"/>
      <c r="E31" s="15" t="n">
        <f aca="false">E29-E30</f>
        <v>440954.156810708</v>
      </c>
      <c r="F31" s="15"/>
      <c r="G31" s="16" t="s">
        <v>71</v>
      </c>
      <c r="H31" s="11"/>
    </row>
    <row r="32" customFormat="false" ht="15" hidden="false" customHeight="true" outlineLevel="0" collapsed="false">
      <c r="A32" s="17"/>
      <c r="B32" s="18" t="s">
        <v>72</v>
      </c>
      <c r="C32" s="19" t="s">
        <v>73</v>
      </c>
      <c r="D32" s="20"/>
      <c r="E32" s="21"/>
      <c r="F32" s="21" t="n">
        <f aca="false">E31*1.5%</f>
        <v>6614.31235216062</v>
      </c>
      <c r="G32" s="22" t="s">
        <v>74</v>
      </c>
      <c r="H32" s="17"/>
    </row>
    <row r="33" customFormat="false" ht="15" hidden="false" customHeight="true" outlineLevel="0" collapsed="false">
      <c r="A33" s="11"/>
      <c r="B33" s="12" t="s">
        <v>75</v>
      </c>
      <c r="C33" s="23"/>
      <c r="D33" s="14"/>
      <c r="E33" s="15"/>
      <c r="F33" s="15" t="n">
        <f aca="false">IF(E31&lt;=300000,E31*1.5%,IF(E31&lt;=600000,4500+(E31-300000)*3%,13500+(E31-600000)*5%))</f>
        <v>8728.62470432124</v>
      </c>
      <c r="G33" s="16" t="s">
        <v>76</v>
      </c>
      <c r="H33" s="11"/>
    </row>
    <row r="34" customFormat="false" ht="15" hidden="false" customHeight="true" outlineLevel="0" collapsed="false">
      <c r="A34" s="17"/>
      <c r="B34" s="18" t="s">
        <v>77</v>
      </c>
      <c r="C34" s="19"/>
      <c r="D34" s="20"/>
      <c r="E34" s="21"/>
      <c r="F34" s="21" t="n">
        <f aca="false">MAX(0,E31/2*10%-15000)</f>
        <v>7047.7078405354</v>
      </c>
      <c r="G34" s="22" t="s">
        <v>78</v>
      </c>
      <c r="H34" s="17"/>
    </row>
    <row r="35" customFormat="false" ht="15.75" hidden="false" customHeight="true" outlineLevel="0" collapsed="false">
      <c r="B35" s="30" t="s">
        <v>79</v>
      </c>
      <c r="C35" s="30"/>
      <c r="D35" s="30"/>
      <c r="E35" s="30"/>
      <c r="F35" s="31" t="n">
        <f aca="false">SUM(F24,F32:F34)</f>
        <v>57115.7847458605</v>
      </c>
      <c r="G35" s="32"/>
    </row>
    <row r="37" customFormat="false" ht="21.75" hidden="false" customHeight="true" outlineLevel="0" collapsed="false">
      <c r="B37" s="33" t="s">
        <v>80</v>
      </c>
      <c r="C37" s="33"/>
      <c r="D37" s="33"/>
      <c r="E37" s="34" t="n">
        <f aca="false">E22-F35</f>
        <v>494076.911267524</v>
      </c>
      <c r="F37" s="34"/>
      <c r="G37" s="34"/>
    </row>
    <row r="38" customFormat="false" ht="15.75" hidden="false" customHeight="true" outlineLevel="0" collapsed="false">
      <c r="B38" s="35" t="s">
        <v>81</v>
      </c>
      <c r="C38" s="35"/>
      <c r="D38" s="35"/>
      <c r="E38" s="36" t="n">
        <f aca="false">E22+E25+E26+E27</f>
        <v>599059.533606416</v>
      </c>
      <c r="F38" s="36"/>
      <c r="G38" s="36"/>
    </row>
    <row r="40" customFormat="false" ht="13.5" hidden="false" customHeight="true" outlineLevel="0" collapsed="false">
      <c r="B40" s="37" t="s">
        <v>82</v>
      </c>
      <c r="C40" s="37"/>
      <c r="D40" s="37"/>
      <c r="E40" s="37" t="s">
        <v>83</v>
      </c>
      <c r="F40" s="37"/>
      <c r="G40" s="37"/>
    </row>
    <row r="41" customFormat="false" ht="15.75" hidden="false" customHeight="true" outlineLevel="0" collapsed="false">
      <c r="B41" s="38"/>
      <c r="C41" s="38"/>
      <c r="D41" s="38"/>
      <c r="E41" s="38"/>
      <c r="F41" s="38"/>
      <c r="G41" s="38"/>
    </row>
    <row r="42" customFormat="false" ht="15.75" hidden="false" customHeight="true" outlineLevel="0" collapsed="false">
      <c r="B42" s="38"/>
      <c r="C42" s="38"/>
      <c r="D42" s="38"/>
      <c r="E42" s="38"/>
      <c r="F42" s="38"/>
      <c r="G42" s="38"/>
    </row>
    <row r="43" customFormat="false" ht="15.75" hidden="false" customHeight="true" outlineLevel="0" collapsed="false">
      <c r="B43" s="39" t="s">
        <v>84</v>
      </c>
      <c r="C43" s="38"/>
      <c r="D43" s="38"/>
      <c r="E43" s="39" t="s">
        <v>85</v>
      </c>
      <c r="F43" s="38"/>
      <c r="G43" s="38"/>
    </row>
    <row r="45" customFormat="false" ht="12" hidden="false" customHeight="true" outlineLevel="0" collapsed="false">
      <c r="B45" s="40" t="s">
        <v>86</v>
      </c>
      <c r="C45" s="40"/>
      <c r="D45" s="40"/>
      <c r="E45" s="40"/>
      <c r="F45" s="40"/>
      <c r="G45" s="40"/>
    </row>
  </sheetData>
  <mergeCells count="15">
    <mergeCell ref="B2:G2"/>
    <mergeCell ref="B3:G3"/>
    <mergeCell ref="B4:G4"/>
    <mergeCell ref="B14:G14"/>
    <mergeCell ref="B22:D22"/>
    <mergeCell ref="B23:G23"/>
    <mergeCell ref="B28:G28"/>
    <mergeCell ref="B35:E35"/>
    <mergeCell ref="B37:D37"/>
    <mergeCell ref="E37:G37"/>
    <mergeCell ref="B38:D38"/>
    <mergeCell ref="E38:G38"/>
    <mergeCell ref="B40:D40"/>
    <mergeCell ref="E40:G40"/>
    <mergeCell ref="B45:G4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35"/>
  </cols>
  <sheetData>
    <row r="1" customFormat="false" ht="19.5" hidden="false" customHeight="true" outlineLevel="0" collapsed="false">
      <c r="A1" s="41" t="s">
        <v>87</v>
      </c>
      <c r="B1" s="41"/>
      <c r="C1" s="41"/>
    </row>
    <row r="2" customFormat="false" ht="15" hidden="false" customHeight="false" outlineLevel="0" collapsed="false">
      <c r="A2" s="42" t="s">
        <v>88</v>
      </c>
      <c r="B2" s="42"/>
      <c r="C2" s="42"/>
    </row>
    <row r="3" customFormat="false" ht="15" hidden="false" customHeight="true" outlineLevel="0" collapsed="false">
      <c r="A3" s="43" t="s">
        <v>89</v>
      </c>
      <c r="B3" s="44" t="n">
        <v>75000</v>
      </c>
      <c r="C3" s="45" t="s">
        <v>90</v>
      </c>
    </row>
    <row r="4" customFormat="false" ht="15" hidden="false" customHeight="true" outlineLevel="0" collapsed="false">
      <c r="A4" s="43" t="s">
        <v>91</v>
      </c>
      <c r="B4" s="44" t="n">
        <v>40</v>
      </c>
      <c r="C4" s="45" t="s">
        <v>92</v>
      </c>
    </row>
    <row r="5" customFormat="false" ht="15" hidden="false" customHeight="true" outlineLevel="0" collapsed="false">
      <c r="A5" s="43" t="s">
        <v>93</v>
      </c>
      <c r="B5" s="44" t="n">
        <v>173.33</v>
      </c>
      <c r="C5" s="45" t="s">
        <v>94</v>
      </c>
    </row>
    <row r="6" customFormat="false" ht="15" hidden="false" customHeight="false" outlineLevel="0" collapsed="false">
      <c r="A6" s="42" t="s">
        <v>95</v>
      </c>
      <c r="B6" s="42"/>
      <c r="C6" s="42"/>
    </row>
    <row r="7" customFormat="false" ht="15" hidden="false" customHeight="true" outlineLevel="0" collapsed="false">
      <c r="A7" s="43" t="s">
        <v>96</v>
      </c>
      <c r="B7" s="46" t="n">
        <v>0.063</v>
      </c>
      <c r="C7" s="45" t="s">
        <v>97</v>
      </c>
    </row>
    <row r="8" customFormat="false" ht="15" hidden="false" customHeight="true" outlineLevel="0" collapsed="false">
      <c r="A8" s="43" t="s">
        <v>98</v>
      </c>
      <c r="B8" s="46" t="n">
        <v>0.077</v>
      </c>
      <c r="C8" s="45" t="s">
        <v>99</v>
      </c>
    </row>
    <row r="9" customFormat="false" ht="15" hidden="false" customHeight="true" outlineLevel="0" collapsed="false">
      <c r="A9" s="43" t="s">
        <v>100</v>
      </c>
      <c r="B9" s="46" t="n">
        <v>0.0575</v>
      </c>
      <c r="C9" s="45" t="s">
        <v>101</v>
      </c>
    </row>
    <row r="10" customFormat="false" ht="15" hidden="false" customHeight="true" outlineLevel="0" collapsed="false">
      <c r="A10" s="43" t="s">
        <v>102</v>
      </c>
      <c r="B10" s="46" t="n">
        <v>0.02</v>
      </c>
      <c r="C10" s="45" t="s">
        <v>103</v>
      </c>
    </row>
    <row r="11" customFormat="false" ht="15" hidden="false" customHeight="true" outlineLevel="0" collapsed="false">
      <c r="A11" s="43" t="s">
        <v>104</v>
      </c>
      <c r="B11" s="44" t="n">
        <v>3375000</v>
      </c>
      <c r="C11" s="45" t="s">
        <v>105</v>
      </c>
    </row>
    <row r="12" customFormat="false" ht="15" hidden="false" customHeight="true" outlineLevel="0" collapsed="false">
      <c r="A12" s="43" t="s">
        <v>106</v>
      </c>
      <c r="B12" s="44" t="n">
        <v>70000</v>
      </c>
      <c r="C12" s="45" t="s">
        <v>107</v>
      </c>
    </row>
    <row r="13" customFormat="false" ht="15" hidden="false" customHeight="false" outlineLevel="0" collapsed="false">
      <c r="A13" s="42" t="s">
        <v>108</v>
      </c>
      <c r="B13" s="42"/>
      <c r="C13" s="42"/>
    </row>
    <row r="14" customFormat="false" ht="15" hidden="false" customHeight="true" outlineLevel="0" collapsed="false">
      <c r="A14" s="43" t="s">
        <v>109</v>
      </c>
      <c r="B14" s="46" t="n">
        <v>0.015</v>
      </c>
      <c r="C14" s="45" t="s">
        <v>110</v>
      </c>
    </row>
    <row r="15" customFormat="false" ht="15" hidden="false" customHeight="true" outlineLevel="0" collapsed="false">
      <c r="A15" s="43" t="s">
        <v>111</v>
      </c>
      <c r="B15" s="46" t="n">
        <v>0.2</v>
      </c>
      <c r="C15" s="45" t="s">
        <v>112</v>
      </c>
    </row>
    <row r="16" customFormat="false" ht="15" hidden="false" customHeight="true" outlineLevel="0" collapsed="false">
      <c r="A16" s="43" t="s">
        <v>113</v>
      </c>
      <c r="B16" s="46" t="n">
        <v>0.015</v>
      </c>
      <c r="C16" s="45" t="s">
        <v>114</v>
      </c>
    </row>
    <row r="17" customFormat="false" ht="15" hidden="false" customHeight="true" outlineLevel="0" collapsed="false">
      <c r="A17" s="43" t="s">
        <v>115</v>
      </c>
      <c r="B17" s="46" t="n">
        <v>0.03</v>
      </c>
      <c r="C17" s="45" t="s">
        <v>116</v>
      </c>
    </row>
    <row r="18" customFormat="false" ht="15" hidden="false" customHeight="true" outlineLevel="0" collapsed="false">
      <c r="A18" s="43" t="s">
        <v>117</v>
      </c>
      <c r="B18" s="46" t="n">
        <v>0.05</v>
      </c>
      <c r="C18" s="45" t="s">
        <v>118</v>
      </c>
    </row>
    <row r="19" customFormat="false" ht="15" hidden="false" customHeight="false" outlineLevel="0" collapsed="false">
      <c r="A19" s="42" t="s">
        <v>119</v>
      </c>
      <c r="B19" s="42"/>
      <c r="C19" s="42"/>
    </row>
    <row r="20" customFormat="false" ht="15" hidden="false" customHeight="true" outlineLevel="0" collapsed="false">
      <c r="A20" s="43" t="s">
        <v>120</v>
      </c>
      <c r="B20" s="44" t="n">
        <v>2</v>
      </c>
      <c r="C20" s="45" t="s">
        <v>121</v>
      </c>
    </row>
    <row r="21" customFormat="false" ht="15" hidden="false" customHeight="true" outlineLevel="0" collapsed="false">
      <c r="A21" s="43" t="s">
        <v>122</v>
      </c>
      <c r="B21" s="46" t="n">
        <v>0.02</v>
      </c>
      <c r="C21" s="45" t="s">
        <v>123</v>
      </c>
    </row>
    <row r="22" customFormat="false" ht="15" hidden="false" customHeight="false" outlineLevel="0" collapsed="false">
      <c r="A22" s="47" t="s">
        <v>124</v>
      </c>
      <c r="B22" s="47"/>
      <c r="C22" s="47"/>
    </row>
    <row r="23" customFormat="false" ht="15" hidden="false" customHeight="false" outlineLevel="0" collapsed="false">
      <c r="A23" s="48" t="s">
        <v>125</v>
      </c>
      <c r="B23" s="38"/>
      <c r="C23" s="49" t="s">
        <v>126</v>
      </c>
    </row>
    <row r="24" customFormat="false" ht="15" hidden="false" customHeight="false" outlineLevel="0" collapsed="false">
      <c r="A24" s="50" t="s">
        <v>127</v>
      </c>
      <c r="B24" s="38"/>
      <c r="C24" s="49" t="s">
        <v>128</v>
      </c>
    </row>
    <row r="25" customFormat="false" ht="15" hidden="false" customHeight="false" outlineLevel="0" collapsed="false">
      <c r="A25" s="51" t="s">
        <v>129</v>
      </c>
      <c r="B25" s="38"/>
      <c r="C25" s="49" t="s">
        <v>130</v>
      </c>
    </row>
    <row r="26" customFormat="false" ht="15" hidden="false" customHeight="false" outlineLevel="0" collapsed="false">
      <c r="A26" s="52" t="s">
        <v>131</v>
      </c>
      <c r="B26" s="38"/>
      <c r="C26" s="49" t="s">
        <v>132</v>
      </c>
    </row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</sheetData>
  <mergeCells count="6">
    <mergeCell ref="A1:C1"/>
    <mergeCell ref="A2:C2"/>
    <mergeCell ref="A6:C6"/>
    <mergeCell ref="A13:C13"/>
    <mergeCell ref="A19:C19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9.5" hidden="false" customHeight="true" outlineLevel="0" collapsed="false">
      <c r="A1" s="53" t="s">
        <v>133</v>
      </c>
      <c r="B1" s="53"/>
      <c r="C1" s="53"/>
      <c r="D1" s="53"/>
      <c r="E1" s="53"/>
      <c r="F1" s="53"/>
      <c r="G1" s="53"/>
      <c r="H1" s="53"/>
      <c r="I1" s="53"/>
    </row>
    <row r="2" customFormat="false" ht="15.75" hidden="false" customHeight="true" outlineLevel="0" collapsed="false">
      <c r="A2" s="54" t="s">
        <v>134</v>
      </c>
      <c r="B2" s="54" t="s">
        <v>135</v>
      </c>
      <c r="C2" s="54" t="s">
        <v>136</v>
      </c>
      <c r="D2" s="54" t="s">
        <v>137</v>
      </c>
      <c r="E2" s="54" t="s">
        <v>138</v>
      </c>
      <c r="F2" s="54" t="s">
        <v>139</v>
      </c>
      <c r="G2" s="54" t="s">
        <v>140</v>
      </c>
      <c r="H2" s="54" t="s">
        <v>141</v>
      </c>
      <c r="I2" s="54" t="s">
        <v>142</v>
      </c>
    </row>
    <row r="3" customFormat="false" ht="15" hidden="false" customHeight="true" outlineLevel="0" collapsed="false">
      <c r="A3" s="55" t="s">
        <v>14</v>
      </c>
      <c r="B3" s="56" t="s">
        <v>143</v>
      </c>
      <c r="C3" s="55" t="s">
        <v>144</v>
      </c>
      <c r="D3" s="55" t="s">
        <v>145</v>
      </c>
      <c r="E3" s="57" t="n">
        <v>350000</v>
      </c>
      <c r="F3" s="55" t="s">
        <v>18</v>
      </c>
      <c r="G3" s="55" t="s">
        <v>28</v>
      </c>
      <c r="H3" s="55" t="n">
        <f aca="true">DATEDIF(DATE(2024,6,1),TODAY(),"Y")</f>
        <v>2</v>
      </c>
      <c r="I3" s="55" t="s">
        <v>146</v>
      </c>
    </row>
    <row r="4" customFormat="false" ht="15" hidden="false" customHeight="true" outlineLevel="0" collapsed="false">
      <c r="A4" s="58" t="s">
        <v>147</v>
      </c>
      <c r="B4" s="59" t="s">
        <v>148</v>
      </c>
      <c r="C4" s="58" t="s">
        <v>149</v>
      </c>
      <c r="D4" s="58" t="s">
        <v>150</v>
      </c>
      <c r="E4" s="60" t="n">
        <v>180000</v>
      </c>
      <c r="F4" s="58" t="s">
        <v>151</v>
      </c>
      <c r="G4" s="58" t="s">
        <v>152</v>
      </c>
      <c r="H4" s="58" t="n">
        <f aca="true">DATEDIF(DATE(2023,3,15),TODAY(),"Y")</f>
        <v>3</v>
      </c>
      <c r="I4" s="58" t="s">
        <v>146</v>
      </c>
    </row>
    <row r="5" customFormat="false" ht="15" hidden="false" customHeight="true" outlineLevel="0" collapsed="false">
      <c r="A5" s="55" t="s">
        <v>153</v>
      </c>
      <c r="B5" s="56" t="s">
        <v>154</v>
      </c>
      <c r="C5" s="55" t="s">
        <v>155</v>
      </c>
      <c r="D5" s="55" t="s">
        <v>156</v>
      </c>
      <c r="E5" s="57" t="n">
        <v>120000</v>
      </c>
      <c r="F5" s="55" t="s">
        <v>157</v>
      </c>
      <c r="G5" s="55" t="s">
        <v>158</v>
      </c>
      <c r="H5" s="55" t="n">
        <f aca="true">DATEDIF(DATE(2022,9,1),TODAY(),"Y")</f>
        <v>3</v>
      </c>
      <c r="I5" s="55" t="s">
        <v>146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2026-06-24T22:42:54Z</dcterms:created>
  <dc:creator>openpyxl</dc:creator>
  <dc:description/>
  <dc:language>en-US</dc:language>
  <cp:lastModifiedBy/>
  <dcterms:modified xsi:type="dcterms:W3CDTF">2026-06-24T22:42:54Z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