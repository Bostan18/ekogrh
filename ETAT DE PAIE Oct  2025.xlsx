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mite\Downloads\"/>
    </mc:Choice>
  </mc:AlternateContent>
  <xr:revisionPtr revIDLastSave="0" documentId="8_{50D198E1-3D1E-4100-96AD-79974689C3C5}" xr6:coauthVersionLast="47" xr6:coauthVersionMax="47" xr10:uidLastSave="{00000000-0000-0000-0000-000000000000}"/>
  <bookViews>
    <workbookView xWindow="-108" yWindow="-108" windowWidth="23256" windowHeight="12456" tabRatio="595" firstSheet="4" activeTab="12" xr2:uid="{00000000-000D-0000-FFFF-FFFF00000000}"/>
  </bookViews>
  <sheets>
    <sheet name="TOUPAH V1" sheetId="1" r:id="rId1"/>
    <sheet name="TOUPAH V2" sheetId="2" r:id="rId2"/>
    <sheet name="TOUPAH V3" sheetId="3" r:id="rId3"/>
    <sheet name="LAVAGE CITERNE" sheetId="32" r:id="rId4"/>
    <sheet name="TOUPAH V4" sheetId="4" r:id="rId5"/>
    <sheet name="BALLET" sheetId="5" r:id="rId6"/>
    <sheet name="EKO PAF" sheetId="7" r:id="rId7"/>
    <sheet name="TIEVIESSOU" sheetId="8" r:id="rId8"/>
    <sheet name="DIVO" sheetId="28" r:id="rId9"/>
    <sheet name="BETTIE" sheetId="44" r:id="rId10"/>
    <sheet name="BONGO" sheetId="27" r:id="rId11"/>
    <sheet name="MOTARD TPH-ORU" sheetId="24" r:id="rId12"/>
    <sheet name="ETAT FINAL" sheetId="42" r:id="rId13"/>
    <sheet name="CUMUL DES ETATS" sheetId="39" r:id="rId14"/>
  </sheets>
  <definedNames>
    <definedName name="_xlnm._FilterDatabase" localSheetId="11" hidden="1">'MOTARD TPH-ORU'!#REF!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I23" i="2"/>
  <c r="AC4" i="44" l="1"/>
  <c r="B16" i="44"/>
  <c r="C21" i="7"/>
  <c r="K29" i="24" l="1"/>
  <c r="H16" i="28"/>
  <c r="E9" i="28"/>
  <c r="C29" i="4"/>
  <c r="C16" i="2"/>
  <c r="J12" i="1"/>
  <c r="R35" i="1"/>
  <c r="R80" i="1"/>
  <c r="R70" i="1"/>
  <c r="R57" i="1"/>
  <c r="R48" i="1"/>
  <c r="J14" i="4"/>
  <c r="J9" i="1"/>
  <c r="J4" i="1"/>
  <c r="H12" i="1"/>
  <c r="R62" i="1"/>
  <c r="R63" i="1"/>
  <c r="R64" i="1"/>
  <c r="R65" i="1"/>
  <c r="R66" i="1"/>
  <c r="R67" i="1"/>
  <c r="R68" i="1"/>
  <c r="R69" i="1"/>
  <c r="P70" i="1"/>
  <c r="R77" i="1"/>
  <c r="R78" i="1"/>
  <c r="R79" i="1"/>
  <c r="R76" i="1"/>
  <c r="P80" i="1"/>
  <c r="E20" i="1" l="1"/>
  <c r="C15" i="1"/>
  <c r="C9" i="28" l="1"/>
  <c r="R15" i="1"/>
  <c r="R17" i="1"/>
  <c r="R20" i="1"/>
  <c r="R16" i="1"/>
  <c r="R29" i="1"/>
  <c r="R10" i="1"/>
  <c r="R19" i="1" l="1"/>
  <c r="R24" i="1"/>
  <c r="R33" i="1"/>
  <c r="R32" i="1"/>
  <c r="R14" i="1"/>
  <c r="P57" i="1"/>
  <c r="R56" i="1"/>
  <c r="R55" i="1"/>
  <c r="R54" i="1"/>
  <c r="R53" i="1"/>
  <c r="P48" i="1"/>
  <c r="R47" i="1"/>
  <c r="R46" i="1"/>
  <c r="R43" i="1"/>
  <c r="R44" i="1"/>
  <c r="R42" i="1"/>
  <c r="R45" i="1"/>
  <c r="R9" i="1"/>
  <c r="F11" i="27"/>
  <c r="AA4" i="44" l="1"/>
  <c r="AA5" i="44"/>
  <c r="AC5" i="44" s="1"/>
  <c r="AA6" i="44"/>
  <c r="AC6" i="44" s="1"/>
  <c r="AA7" i="44"/>
  <c r="AC7" i="44" s="1"/>
  <c r="AA8" i="44"/>
  <c r="AC8" i="44" s="1"/>
  <c r="AA9" i="44"/>
  <c r="AC9" i="44" s="1"/>
  <c r="AA10" i="44"/>
  <c r="AC10" i="44" s="1"/>
  <c r="AA11" i="44"/>
  <c r="AC11" i="44" s="1"/>
  <c r="Q4" i="4"/>
  <c r="F9" i="27" l="1"/>
  <c r="F15" i="27"/>
  <c r="H15" i="27" s="1"/>
  <c r="F4" i="27"/>
  <c r="H4" i="27" s="1"/>
  <c r="F12" i="27"/>
  <c r="H12" i="27" s="1"/>
  <c r="F10" i="27"/>
  <c r="F8" i="27"/>
  <c r="F6" i="27"/>
  <c r="H5" i="27"/>
  <c r="F5" i="27"/>
  <c r="H9" i="27"/>
  <c r="H6" i="27"/>
  <c r="H8" i="27"/>
  <c r="H10" i="27"/>
  <c r="H11" i="27"/>
  <c r="F13" i="27"/>
  <c r="H13" i="27" s="1"/>
  <c r="F14" i="27"/>
  <c r="H14" i="27" s="1"/>
  <c r="H16" i="27" l="1"/>
  <c r="F16" i="27"/>
  <c r="E16" i="27" l="1"/>
  <c r="E14" i="24"/>
  <c r="G14" i="24" s="1"/>
  <c r="N4" i="24"/>
  <c r="B23" i="44" l="1"/>
  <c r="B22" i="44"/>
  <c r="B21" i="44"/>
  <c r="B20" i="44"/>
  <c r="B19" i="44"/>
  <c r="B18" i="44"/>
  <c r="B17" i="44"/>
  <c r="B24" i="44" l="1"/>
  <c r="AA12" i="44"/>
  <c r="AC12" i="44" s="1"/>
  <c r="E30" i="24" l="1"/>
  <c r="E31" i="24"/>
  <c r="E33" i="24"/>
  <c r="E3" i="24"/>
  <c r="G3" i="24" s="1"/>
  <c r="E5" i="24"/>
  <c r="E7" i="24"/>
  <c r="E9" i="24"/>
  <c r="E12" i="24"/>
  <c r="E13" i="24"/>
  <c r="E15" i="24"/>
  <c r="E16" i="24"/>
  <c r="E19" i="24"/>
  <c r="E6" i="24"/>
  <c r="C12" i="8"/>
  <c r="J13" i="2" l="1"/>
  <c r="C20" i="5" l="1"/>
  <c r="H11" i="2" l="1"/>
  <c r="O46" i="2"/>
  <c r="J7" i="2"/>
  <c r="P35" i="1"/>
  <c r="R22" i="1"/>
  <c r="J3" i="1"/>
  <c r="J21" i="2"/>
  <c r="J20" i="2"/>
  <c r="J19" i="2"/>
  <c r="J18" i="2"/>
  <c r="J17" i="2"/>
  <c r="J16" i="2"/>
  <c r="J15" i="2"/>
  <c r="J14" i="2"/>
  <c r="J10" i="2"/>
  <c r="J9" i="2"/>
  <c r="J8" i="2"/>
  <c r="J6" i="2"/>
  <c r="J5" i="2"/>
  <c r="J4" i="2"/>
  <c r="J3" i="2"/>
  <c r="R12" i="1"/>
  <c r="N5" i="24"/>
  <c r="E26" i="24"/>
  <c r="G28" i="24"/>
  <c r="G35" i="24"/>
  <c r="J11" i="4"/>
  <c r="J12" i="4"/>
  <c r="J18" i="4"/>
  <c r="J7" i="4"/>
  <c r="J4" i="4"/>
  <c r="J23" i="2" l="1"/>
  <c r="J11" i="2"/>
  <c r="M81" i="42"/>
  <c r="H58" i="42" l="1"/>
  <c r="C65" i="42" l="1"/>
  <c r="G10" i="24"/>
  <c r="G11" i="24"/>
  <c r="G12" i="24"/>
  <c r="G13" i="24"/>
  <c r="G15" i="24"/>
  <c r="C21" i="4"/>
  <c r="H19" i="4"/>
  <c r="J13" i="4"/>
  <c r="R28" i="1"/>
  <c r="R21" i="1"/>
  <c r="R23" i="1"/>
  <c r="R25" i="1"/>
  <c r="R26" i="1"/>
  <c r="R27" i="1"/>
  <c r="R18" i="1"/>
  <c r="R31" i="1"/>
  <c r="R13" i="1"/>
  <c r="R30" i="1"/>
  <c r="R34" i="1"/>
  <c r="R11" i="1"/>
  <c r="C79" i="42" l="1"/>
  <c r="D12" i="3"/>
  <c r="J17" i="1" l="1"/>
  <c r="J15" i="1"/>
  <c r="J16" i="1"/>
  <c r="E15" i="5" l="1"/>
  <c r="Q5" i="4" l="1"/>
  <c r="Q6" i="4"/>
  <c r="Q7" i="4"/>
  <c r="Q8" i="4"/>
  <c r="Q9" i="4"/>
  <c r="Q10" i="4"/>
  <c r="Q3" i="4"/>
  <c r="Q11" i="4" l="1"/>
  <c r="G30" i="24"/>
  <c r="G4" i="24"/>
  <c r="G5" i="24"/>
  <c r="G6" i="24"/>
  <c r="G7" i="24"/>
  <c r="G8" i="24"/>
  <c r="G9" i="24"/>
  <c r="G16" i="24"/>
  <c r="G17" i="24"/>
  <c r="G18" i="24"/>
  <c r="G19" i="24"/>
  <c r="J17" i="4"/>
  <c r="J16" i="4"/>
  <c r="J8" i="4"/>
  <c r="J10" i="4"/>
  <c r="J15" i="4"/>
  <c r="J9" i="4"/>
  <c r="J6" i="4"/>
  <c r="J5" i="4"/>
  <c r="J3" i="4"/>
  <c r="G20" i="24" l="1"/>
  <c r="J5" i="1"/>
  <c r="J6" i="1"/>
  <c r="J7" i="1"/>
  <c r="J8" i="1"/>
  <c r="J10" i="1"/>
  <c r="J11" i="1"/>
  <c r="C20" i="24" l="1"/>
  <c r="E20" i="24"/>
  <c r="F20" i="24"/>
  <c r="J24" i="4" l="1"/>
  <c r="N6" i="24" l="1"/>
  <c r="L15" i="24"/>
  <c r="N9" i="24"/>
  <c r="D20" i="5" l="1"/>
  <c r="E17" i="5"/>
  <c r="E18" i="5"/>
  <c r="E19" i="5"/>
  <c r="E16" i="5"/>
  <c r="E20" i="5" l="1"/>
  <c r="F24" i="27"/>
  <c r="F23" i="27"/>
  <c r="F22" i="27"/>
  <c r="F21" i="27"/>
  <c r="I32" i="4"/>
  <c r="J31" i="4" l="1"/>
  <c r="J28" i="4"/>
  <c r="J29" i="4"/>
  <c r="J30" i="4"/>
  <c r="J27" i="4"/>
  <c r="C9" i="2" l="1"/>
  <c r="Q3" i="1" l="1"/>
  <c r="G29" i="24" l="1"/>
  <c r="G32" i="24"/>
  <c r="G31" i="24"/>
  <c r="G34" i="24"/>
  <c r="G27" i="24"/>
  <c r="G26" i="24"/>
  <c r="G33" i="24"/>
  <c r="N8" i="24"/>
  <c r="N7" i="24"/>
  <c r="N11" i="24"/>
  <c r="N14" i="24"/>
  <c r="N13" i="24"/>
  <c r="G37" i="24" l="1"/>
  <c r="E26" i="27"/>
  <c r="F25" i="27"/>
  <c r="F20" i="27"/>
  <c r="F19" i="27"/>
  <c r="F18" i="27"/>
  <c r="F26" i="27" l="1"/>
  <c r="J18" i="1" l="1"/>
  <c r="J26" i="4" l="1"/>
  <c r="J25" i="4" l="1"/>
  <c r="J23" i="4"/>
  <c r="O4" i="1"/>
  <c r="J32" i="4" l="1"/>
  <c r="Q4" i="1"/>
  <c r="N10" i="24" l="1"/>
  <c r="N12" i="24"/>
  <c r="N3" i="24"/>
  <c r="D5" i="39"/>
  <c r="C9" i="5"/>
  <c r="D10" i="32"/>
  <c r="N15" i="24" l="1"/>
  <c r="J19" i="4"/>
  <c r="D86" i="4" l="1"/>
</calcChain>
</file>

<file path=xl/sharedStrings.xml><?xml version="1.0" encoding="utf-8"?>
<sst xmlns="http://schemas.openxmlformats.org/spreadsheetml/2006/main" count="1113" uniqueCount="507">
  <si>
    <t>MONTANT</t>
  </si>
  <si>
    <t>TOTAL</t>
  </si>
  <si>
    <t>N°</t>
  </si>
  <si>
    <t>05 05 92 51 79</t>
  </si>
  <si>
    <t>07 77 42 84 72</t>
  </si>
  <si>
    <t>05 55 28 95 90</t>
  </si>
  <si>
    <t>07 67 52 87 85</t>
  </si>
  <si>
    <t>05 84 53 21 07</t>
  </si>
  <si>
    <t>07 47 79 96 49</t>
  </si>
  <si>
    <t>07 03 04 85 67</t>
  </si>
  <si>
    <t>01 01 91 40 84</t>
  </si>
  <si>
    <t>07 05 43 66 44</t>
  </si>
  <si>
    <t xml:space="preserve">05 65 15 55 67 </t>
  </si>
  <si>
    <t xml:space="preserve">05 05 45 51 85 </t>
  </si>
  <si>
    <t xml:space="preserve">05 46 15 38 83 </t>
  </si>
  <si>
    <t>05 64 79 68 17</t>
  </si>
  <si>
    <t>01 03 46 46 88</t>
  </si>
  <si>
    <t>05 01 94 96 95</t>
  </si>
  <si>
    <t xml:space="preserve">07 19 43 57 50 </t>
  </si>
  <si>
    <t xml:space="preserve">01 70 35 56 36 </t>
  </si>
  <si>
    <t xml:space="preserve">07 47 57 69 81 </t>
  </si>
  <si>
    <t xml:space="preserve">01 51 30 24 77 </t>
  </si>
  <si>
    <t>05 54 58 49 98</t>
  </si>
  <si>
    <t>05 56 19 88 85</t>
  </si>
  <si>
    <t>05 84 42 11 09</t>
  </si>
  <si>
    <t>05 44 58 74 85</t>
  </si>
  <si>
    <t>07 07 90 06 38</t>
  </si>
  <si>
    <t>NOM &amp; PRENOMS</t>
  </si>
  <si>
    <t>ORDRE DE VIREMENT</t>
  </si>
  <si>
    <t xml:space="preserve">TOTAL </t>
  </si>
  <si>
    <t>Djalo Hassane</t>
  </si>
  <si>
    <t>07 67 64 19 91</t>
  </si>
  <si>
    <t>07 48 59 11 35</t>
  </si>
  <si>
    <t>07 08 89 70 73</t>
  </si>
  <si>
    <t>05 64 61 54 09</t>
  </si>
  <si>
    <t>05 03 01 47 10</t>
  </si>
  <si>
    <t>NOM ET PRENOMS</t>
  </si>
  <si>
    <t>07 58 96 81 14</t>
  </si>
  <si>
    <t>07 09 94 00 62</t>
  </si>
  <si>
    <t>07 47 71 69 58</t>
  </si>
  <si>
    <t xml:space="preserve">07 47 42 80 87 </t>
  </si>
  <si>
    <t>Dabiré Micheline</t>
  </si>
  <si>
    <t>Doli Ini</t>
  </si>
  <si>
    <t>Kaboré Eric</t>
  </si>
  <si>
    <t>Sawadogo Salimata</t>
  </si>
  <si>
    <t>Compaoré Mamadi</t>
  </si>
  <si>
    <t>Somda Geremie</t>
  </si>
  <si>
    <t>Dabiré Hiba</t>
  </si>
  <si>
    <t>Koné Mamadou</t>
  </si>
  <si>
    <t xml:space="preserve">NUMERO MOBILE MONEY </t>
  </si>
  <si>
    <t>EHUIKRO</t>
  </si>
  <si>
    <t>N'GUESSANPOKOUKRO</t>
  </si>
  <si>
    <t>BAOULEKRO</t>
  </si>
  <si>
    <t>GARANGO</t>
  </si>
  <si>
    <t>ZATTA</t>
  </si>
  <si>
    <t>SACO</t>
  </si>
  <si>
    <t>GABIADJI</t>
  </si>
  <si>
    <t>07 57 62 20 74</t>
  </si>
  <si>
    <t>07 03 95 77 32</t>
  </si>
  <si>
    <t>KOUAMEKRO</t>
  </si>
  <si>
    <t>07 07 32 31 50</t>
  </si>
  <si>
    <t>05 04 73 78 82</t>
  </si>
  <si>
    <t>Kiemdé Barthelemy</t>
  </si>
  <si>
    <t>Kouakou Théodore</t>
  </si>
  <si>
    <t>Tera Salif</t>
  </si>
  <si>
    <t>Bargo Maurice</t>
  </si>
  <si>
    <t>07 14 11 39 72</t>
  </si>
  <si>
    <t>01 70 83 34 40</t>
  </si>
  <si>
    <t>Poda Claudine</t>
  </si>
  <si>
    <t>Somda Alice</t>
  </si>
  <si>
    <t>Somé Esther</t>
  </si>
  <si>
    <t>Koffi Eugène</t>
  </si>
  <si>
    <t>05 46 03 78 46</t>
  </si>
  <si>
    <t>Goh Desiré</t>
  </si>
  <si>
    <t>Hema Phino</t>
  </si>
  <si>
    <t>Soroko Bintou</t>
  </si>
  <si>
    <t>Gueu Emmanuel</t>
  </si>
  <si>
    <t>N'da Jean</t>
  </si>
  <si>
    <t>Gnahé Odilon</t>
  </si>
  <si>
    <t>Essoh Nomel Alphonse</t>
  </si>
  <si>
    <t>Sana Noufou</t>
  </si>
  <si>
    <t>Barry Abdoulaye</t>
  </si>
  <si>
    <t>Harouna Niandou Djibril</t>
  </si>
  <si>
    <t>Nomel Agnero Mahilet</t>
  </si>
  <si>
    <t>Thia Konin</t>
  </si>
  <si>
    <t xml:space="preserve">Ouédraogo Daouda </t>
  </si>
  <si>
    <t xml:space="preserve"> Ligne </t>
  </si>
  <si>
    <t>PU</t>
  </si>
  <si>
    <t>Bamogo Souleymane</t>
  </si>
  <si>
    <t>Méda Caroline</t>
  </si>
  <si>
    <t>Nuamba Zakaria</t>
  </si>
  <si>
    <t>Ouattara Mariam</t>
  </si>
  <si>
    <t>Sawadogo Clementine</t>
  </si>
  <si>
    <t>Somda Naberer</t>
  </si>
  <si>
    <t>05 06 30 59 38</t>
  </si>
  <si>
    <t>05 45 60 10 65</t>
  </si>
  <si>
    <t>07 87 11 95 62</t>
  </si>
  <si>
    <t>05 06 10 47 76</t>
  </si>
  <si>
    <t>07 48 20 31 50</t>
  </si>
  <si>
    <t>LIGNE</t>
  </si>
  <si>
    <t>Akpa Williams Roger</t>
  </si>
  <si>
    <t>Names Aka Raoul</t>
  </si>
  <si>
    <t>T/J</t>
  </si>
  <si>
    <t xml:space="preserve"> 01 61 11 20 59</t>
  </si>
  <si>
    <t>01 03 45 72 11</t>
  </si>
  <si>
    <t>Somé Elisabeth</t>
  </si>
  <si>
    <t>Kobenan Kouamé Honoré</t>
  </si>
  <si>
    <t>Memel Agnimel Jacques</t>
  </si>
  <si>
    <t>01 41 39 16 76</t>
  </si>
  <si>
    <t>Nom du travailleur</t>
  </si>
  <si>
    <t>Nombre de ligne</t>
  </si>
  <si>
    <t>Coût unitaire</t>
  </si>
  <si>
    <t>Montant</t>
  </si>
  <si>
    <t>Contact</t>
  </si>
  <si>
    <t xml:space="preserve">NOM ET PRENOM </t>
  </si>
  <si>
    <t>CONTACT</t>
  </si>
  <si>
    <t>ORANGE</t>
  </si>
  <si>
    <t>MOOV</t>
  </si>
  <si>
    <t>MTN</t>
  </si>
  <si>
    <t>NOM &amp; PRENOM</t>
  </si>
  <si>
    <t xml:space="preserve">07 69 12 24 89 </t>
  </si>
  <si>
    <t xml:space="preserve"> </t>
  </si>
  <si>
    <t>07 57 26 30 66</t>
  </si>
  <si>
    <t>RIB</t>
  </si>
  <si>
    <t>05 64 51 99 61</t>
  </si>
  <si>
    <t>01 40 40 01 31</t>
  </si>
  <si>
    <t>01 52 39 36 33</t>
  </si>
  <si>
    <t>Maison Dabou</t>
  </si>
  <si>
    <t xml:space="preserve">OBSERVATION </t>
  </si>
  <si>
    <t>DAOUKRO LOYER</t>
  </si>
  <si>
    <t>ZAHAKRO LOYER</t>
  </si>
  <si>
    <t>07 09 52 52 40</t>
  </si>
  <si>
    <t>ZATTA LOYER</t>
  </si>
  <si>
    <t>07 48 82 89 72</t>
  </si>
  <si>
    <t>BOUAKE LOYER</t>
  </si>
  <si>
    <t>07 49 18 21 17</t>
  </si>
  <si>
    <t xml:space="preserve">BONGOUANOU LOYER </t>
  </si>
  <si>
    <t xml:space="preserve">05 86 59 54 02 </t>
  </si>
  <si>
    <t>Melagne Agnessi Serge</t>
  </si>
  <si>
    <t>Somda Emotion</t>
  </si>
  <si>
    <t>05 44 40 30 06</t>
  </si>
  <si>
    <t>Sawadogo Rasmoni</t>
  </si>
  <si>
    <t>05 02 17 23 32</t>
  </si>
  <si>
    <t>Konan Herman</t>
  </si>
  <si>
    <t>Kouassi William</t>
  </si>
  <si>
    <t>Poids</t>
  </si>
  <si>
    <t>POIDS</t>
  </si>
  <si>
    <t>Medjagne Lasm</t>
  </si>
  <si>
    <t>Ouella Moumouni</t>
  </si>
  <si>
    <t>07 77 46 54 52</t>
  </si>
  <si>
    <t xml:space="preserve">05 76 05 10 71 </t>
  </si>
  <si>
    <t>05 46 28 26 10</t>
  </si>
  <si>
    <t>07 49 46 03 49</t>
  </si>
  <si>
    <t>01 40 72 84 05</t>
  </si>
  <si>
    <t>Kouassi Kouadio Desiré</t>
  </si>
  <si>
    <t>Hien Therèse</t>
  </si>
  <si>
    <t xml:space="preserve">01 02 77 30 92 </t>
  </si>
  <si>
    <t xml:space="preserve">01 40 73 03 79 </t>
  </si>
  <si>
    <t>P.E</t>
  </si>
  <si>
    <t>Koui Desiré</t>
  </si>
  <si>
    <t>05 01 63 48 98</t>
  </si>
  <si>
    <t xml:space="preserve">05 64 82 50 71 </t>
  </si>
  <si>
    <t xml:space="preserve">ZONE D'INTERVENTION </t>
  </si>
  <si>
    <t>Essoh Diby</t>
  </si>
  <si>
    <t>Yao Angenor</t>
  </si>
  <si>
    <t>05 95 48 68 20</t>
  </si>
  <si>
    <t>Adou Michel</t>
  </si>
  <si>
    <t>07 68 89 02 34</t>
  </si>
  <si>
    <t>Ouédraogo Clément</t>
  </si>
  <si>
    <t>07 47 59 16 02</t>
  </si>
  <si>
    <t>Nana Souleymane</t>
  </si>
  <si>
    <t>07 58 97 01 30</t>
  </si>
  <si>
    <t>07 09 40 94 88</t>
  </si>
  <si>
    <t>M+P</t>
  </si>
  <si>
    <t>Poids (Kg)</t>
  </si>
  <si>
    <t>Lasm Lambert</t>
  </si>
  <si>
    <t>Doli Eugène</t>
  </si>
  <si>
    <t>Somé Pormonin</t>
  </si>
  <si>
    <t xml:space="preserve">Compaoré Christine </t>
  </si>
  <si>
    <t>Djedjro Jules</t>
  </si>
  <si>
    <t>Esmel Akpa Auguste Pacôme</t>
  </si>
  <si>
    <t>Essis Essoh Djobo Jean-Paul</t>
  </si>
  <si>
    <t>Kokounseu N. Innocent</t>
  </si>
  <si>
    <t>Sama Julien</t>
  </si>
  <si>
    <t>01 02 50 80 51</t>
  </si>
  <si>
    <t>Agnimel Akpa Léon</t>
  </si>
  <si>
    <t>Lath Gnagne Carlos</t>
  </si>
  <si>
    <t>Ouédraogo Issiaka</t>
  </si>
  <si>
    <t>Tabsoba Boukari</t>
  </si>
  <si>
    <t>05 85 78 61 50</t>
  </si>
  <si>
    <t>01 61 73 66 38</t>
  </si>
  <si>
    <t>07 88 21 30 77</t>
  </si>
  <si>
    <t>07 88 14 34 61</t>
  </si>
  <si>
    <t>Etekou Akpa Victor</t>
  </si>
  <si>
    <t>Kangah Aka Ddier</t>
  </si>
  <si>
    <t>05 74 94 06 70</t>
  </si>
  <si>
    <t>07 47 75 66 83</t>
  </si>
  <si>
    <t xml:space="preserve">05 74 43 42 19 </t>
  </si>
  <si>
    <t>01 02 03 33 21</t>
  </si>
  <si>
    <t>01 03 63 71 73</t>
  </si>
  <si>
    <t>01 41 02 46 25</t>
  </si>
  <si>
    <t>Ouédraogo Alassane</t>
  </si>
  <si>
    <t xml:space="preserve">07 59 67 26 30 </t>
  </si>
  <si>
    <t>Somda Odile</t>
  </si>
  <si>
    <t>Dabiré Micheline Tph</t>
  </si>
  <si>
    <t>01 70 35 48 19</t>
  </si>
  <si>
    <t>05 55 63 36 49</t>
  </si>
  <si>
    <t xml:space="preserve">07 89 23 35 00 </t>
  </si>
  <si>
    <t xml:space="preserve">05 55 95 51 33 </t>
  </si>
  <si>
    <t>05 54 20 58 62</t>
  </si>
  <si>
    <t>07 97 55 57 31</t>
  </si>
  <si>
    <t>CONTACTS</t>
  </si>
  <si>
    <t>07 68 11 83 43</t>
  </si>
  <si>
    <t>Gnamba  Boy Rene</t>
  </si>
  <si>
    <t>Socoba Daouda</t>
  </si>
  <si>
    <t>Gnagne Ezechias</t>
  </si>
  <si>
    <t>05 54 12 92 75</t>
  </si>
  <si>
    <t>01 70 80 41 46</t>
  </si>
  <si>
    <t>Agro Mel Honoré</t>
  </si>
  <si>
    <t>Kouadio Tanoh</t>
  </si>
  <si>
    <t>Tra Bi Paterson</t>
  </si>
  <si>
    <t>Oulai Alban</t>
  </si>
  <si>
    <t>Kouassi Patrick</t>
  </si>
  <si>
    <t>N'goran Aya Nathalie</t>
  </si>
  <si>
    <t>N'guessan Adéline</t>
  </si>
  <si>
    <t>05 75 80 07 24</t>
  </si>
  <si>
    <t>05 85 92 60 92</t>
  </si>
  <si>
    <t>07 79 81 67 05</t>
  </si>
  <si>
    <t>Tapsoba Maimouna</t>
  </si>
  <si>
    <t>Boty Lou Nadège</t>
  </si>
  <si>
    <t>Djiguinan Abiba</t>
  </si>
  <si>
    <t>05 94 34 62 41</t>
  </si>
  <si>
    <t>Kouakou Abel</t>
  </si>
  <si>
    <t>05 65 82 01 55</t>
  </si>
  <si>
    <t>01 51 56 08 86</t>
  </si>
  <si>
    <t>Kouamé Eric</t>
  </si>
  <si>
    <t>Kouassi N'gotta</t>
  </si>
  <si>
    <t>01 02 77 88 16</t>
  </si>
  <si>
    <t>N'da Ferdinand</t>
  </si>
  <si>
    <t>N'da Serge</t>
  </si>
  <si>
    <t>Maison Balet</t>
  </si>
  <si>
    <t>Konaté Adama</t>
  </si>
  <si>
    <t xml:space="preserve">07 05 67 29 98 </t>
  </si>
  <si>
    <t>05 45 37 99 81</t>
  </si>
  <si>
    <t>DOUABOU MAMOU</t>
  </si>
  <si>
    <t>M'boua Jano Esdras</t>
  </si>
  <si>
    <t>01 71 85 03 95</t>
  </si>
  <si>
    <t>01 41 43 56 91</t>
  </si>
  <si>
    <t>Memel Yedo Antoine</t>
  </si>
  <si>
    <t>Enan Evrard</t>
  </si>
  <si>
    <t>05 86 21 24 80</t>
  </si>
  <si>
    <t>05 03 28 67 48</t>
  </si>
  <si>
    <t>01 00 62 95 70</t>
  </si>
  <si>
    <t>Tohossohou Fernand</t>
  </si>
  <si>
    <t>Tabsoba Maimounata</t>
  </si>
  <si>
    <t xml:space="preserve">07 79 69 75 43 </t>
  </si>
  <si>
    <t>Gadji Ferdinand</t>
  </si>
  <si>
    <t>Goh Oulai Modeste</t>
  </si>
  <si>
    <t>Gnahoré Serge</t>
  </si>
  <si>
    <t>Ouattara Aichata</t>
  </si>
  <si>
    <t>Soumdakoum Dassira</t>
  </si>
  <si>
    <t>Nagrogo Hado</t>
  </si>
  <si>
    <t>Hien Madeleine</t>
  </si>
  <si>
    <t>01 40 06 98 42</t>
  </si>
  <si>
    <t>Gueu Alvarès</t>
  </si>
  <si>
    <t>Yoh Séraphin</t>
  </si>
  <si>
    <t>05 01 43 96 57</t>
  </si>
  <si>
    <t>Kan Kouassi Ludovic</t>
  </si>
  <si>
    <t>N'guessan Adeline</t>
  </si>
  <si>
    <t>Bah Chanelle</t>
  </si>
  <si>
    <t>JOURNEES</t>
  </si>
  <si>
    <t>GBRIGA DAGO</t>
  </si>
  <si>
    <t>TIA LANDRY</t>
  </si>
  <si>
    <t xml:space="preserve">LAMINE SILOUE </t>
  </si>
  <si>
    <t>PALENFO BERNADINE</t>
  </si>
  <si>
    <t>07 47 11 71 92</t>
  </si>
  <si>
    <t>NOMBRE DE PLANTS JOURNALIER</t>
  </si>
  <si>
    <t>PLANTS</t>
  </si>
  <si>
    <t>P.U</t>
  </si>
  <si>
    <t>M.T</t>
  </si>
  <si>
    <t>Ouédraogo Gilles</t>
  </si>
  <si>
    <t>07 05 36 30 63</t>
  </si>
  <si>
    <t xml:space="preserve">                                                                      </t>
  </si>
  <si>
    <t>07 98 36 32 86</t>
  </si>
  <si>
    <t>01 04 07 99 16</t>
  </si>
  <si>
    <t>01 51 11 00 75</t>
  </si>
  <si>
    <t>01 03 68 91 86</t>
  </si>
  <si>
    <t>01 04 36 29 92</t>
  </si>
  <si>
    <t>05 75 53 89 99</t>
  </si>
  <si>
    <t>Gueu Yannick</t>
  </si>
  <si>
    <t>Palenfo Bernadine</t>
  </si>
  <si>
    <t>Douabou Mamou</t>
  </si>
  <si>
    <t>Kouassi Joel</t>
  </si>
  <si>
    <t xml:space="preserve">05 05 29 00 86 </t>
  </si>
  <si>
    <t>Illy Joassin</t>
  </si>
  <si>
    <t>Silué Yacouba</t>
  </si>
  <si>
    <t>Oulai Chadrack</t>
  </si>
  <si>
    <t>Affoué Delphine</t>
  </si>
  <si>
    <t>Sawadogo Hamado</t>
  </si>
  <si>
    <t>05 74 71 10 29</t>
  </si>
  <si>
    <t>Aka Cédric</t>
  </si>
  <si>
    <t>Douon Edaime</t>
  </si>
  <si>
    <t>Nomel Essoh Survanus</t>
  </si>
  <si>
    <t>Attchori Mel Chérubin</t>
  </si>
  <si>
    <t>Aman Aka Blaise</t>
  </si>
  <si>
    <t>Tia Adeline</t>
  </si>
  <si>
    <t>05 54 99 51 87</t>
  </si>
  <si>
    <t>01 52 52 58 39</t>
  </si>
  <si>
    <t>Nanan Félicité</t>
  </si>
  <si>
    <t>01 00 63 11 56</t>
  </si>
  <si>
    <t>Nanan Felicité</t>
  </si>
  <si>
    <t>Loua Robert</t>
  </si>
  <si>
    <t>01 50 50 70 02</t>
  </si>
  <si>
    <t>Kamara Kadidja</t>
  </si>
  <si>
    <t>TOUGAN ROSINE</t>
  </si>
  <si>
    <t>POINTAGE SARCLAGE</t>
  </si>
  <si>
    <t>KOBENAN AMA SEPHANIE</t>
  </si>
  <si>
    <t>GOME NADINE</t>
  </si>
  <si>
    <t>07 06 05 23 27</t>
  </si>
  <si>
    <t>01 73 07 91 17</t>
  </si>
  <si>
    <t>07 68 34 44 69</t>
  </si>
  <si>
    <t>EN ATENTTE</t>
  </si>
  <si>
    <t>07 57 34 46 25</t>
  </si>
  <si>
    <t>Kakou Yepié David</t>
  </si>
  <si>
    <t>Kouassi Kouadio Jean</t>
  </si>
  <si>
    <t>01 00 62 91 07</t>
  </si>
  <si>
    <t>05 76 49 85 09</t>
  </si>
  <si>
    <t xml:space="preserve">05 96 05 00 62 </t>
  </si>
  <si>
    <t xml:space="preserve">01 72 49 28 21 </t>
  </si>
  <si>
    <t>05 03 68 23 39</t>
  </si>
  <si>
    <t xml:space="preserve">05 45 71 72 12 </t>
  </si>
  <si>
    <t>Tougan Rosine</t>
  </si>
  <si>
    <t>Kobenan Ama Sephanie</t>
  </si>
  <si>
    <t>Gome Nadine</t>
  </si>
  <si>
    <t xml:space="preserve">05 95 40 69 44 </t>
  </si>
  <si>
    <t>05 54 96 55 83</t>
  </si>
  <si>
    <t>05 76 46 17 44</t>
  </si>
  <si>
    <t>Agbohou Eric</t>
  </si>
  <si>
    <t>05 96 54 72 06</t>
  </si>
  <si>
    <t>07 11 47 30 66</t>
  </si>
  <si>
    <t xml:space="preserve">05 65 34 42 52 </t>
  </si>
  <si>
    <t>KloKouye djiré Schadrac</t>
  </si>
  <si>
    <t>07 89 42 09 13</t>
  </si>
  <si>
    <t>05 54 51 36 20</t>
  </si>
  <si>
    <t>Koffi Jetaime</t>
  </si>
  <si>
    <t>Somanda François</t>
  </si>
  <si>
    <t>Yao Kouakou Evariste</t>
  </si>
  <si>
    <t>Okou Kouadio Arnaud</t>
  </si>
  <si>
    <t>Koffi Kouamé Herman</t>
  </si>
  <si>
    <t>Tiama Souleymane</t>
  </si>
  <si>
    <t>Konan Yao Anderson</t>
  </si>
  <si>
    <t>Konan Kouadio Moise</t>
  </si>
  <si>
    <t>Koffi N'da Lucien</t>
  </si>
  <si>
    <t>Maison Daoukro</t>
  </si>
  <si>
    <r>
      <t xml:space="preserve">ETAT DE PAIE RAMASSAGE FDT DIVISION </t>
    </r>
    <r>
      <rPr>
        <b/>
        <sz val="14"/>
        <color rgb="FFC00000"/>
        <rFont val="Times New Roman"/>
        <family val="1"/>
      </rPr>
      <t>1 Oct</t>
    </r>
    <r>
      <rPr>
        <b/>
        <sz val="14"/>
        <color theme="1"/>
        <rFont val="Times New Roman"/>
        <family val="1"/>
      </rPr>
      <t>-2025</t>
    </r>
  </si>
  <si>
    <r>
      <t xml:space="preserve">FAUCHAGE </t>
    </r>
    <r>
      <rPr>
        <b/>
        <sz val="14"/>
        <color rgb="FFFF0000"/>
        <rFont val="Times New Roman"/>
        <family val="1"/>
      </rPr>
      <t xml:space="preserve">Oct-25 </t>
    </r>
  </si>
  <si>
    <r>
      <t xml:space="preserve">SARCLAGE </t>
    </r>
    <r>
      <rPr>
        <b/>
        <sz val="14"/>
        <color rgb="FFFF0000"/>
        <rFont val="Times New Roman"/>
        <family val="1"/>
      </rPr>
      <t>Oct-25</t>
    </r>
  </si>
  <si>
    <r>
      <t xml:space="preserve">ETAT DE PAIE SAIGNEE DIVISION </t>
    </r>
    <r>
      <rPr>
        <b/>
        <sz val="14"/>
        <color rgb="FFC00000"/>
        <rFont val="Times New Roman"/>
        <family val="1"/>
      </rPr>
      <t>1 Oct</t>
    </r>
    <r>
      <rPr>
        <b/>
        <sz val="14"/>
        <color theme="1"/>
        <rFont val="Times New Roman"/>
        <family val="1"/>
      </rPr>
      <t>-2025 CUMUL</t>
    </r>
  </si>
  <si>
    <r>
      <t xml:space="preserve">RAMASSAGE FDT DIVISION2 </t>
    </r>
    <r>
      <rPr>
        <b/>
        <sz val="14"/>
        <color rgb="FFFF0000"/>
        <rFont val="Times New Roman"/>
        <family val="1"/>
      </rPr>
      <t>Oct-25</t>
    </r>
  </si>
  <si>
    <r>
      <t xml:space="preserve">FAUCHAGE V2 </t>
    </r>
    <r>
      <rPr>
        <b/>
        <sz val="14"/>
        <color rgb="FFFF0000"/>
        <rFont val="Times New Roman"/>
        <family val="1"/>
      </rPr>
      <t>Oct-25</t>
    </r>
  </si>
  <si>
    <r>
      <t xml:space="preserve">ETAT DE PAIE RAMASSAGE FDT DIVISION 2 (V3) </t>
    </r>
    <r>
      <rPr>
        <b/>
        <sz val="16"/>
        <color rgb="FFFF0000"/>
        <rFont val="Times New Roman"/>
        <family val="1"/>
      </rPr>
      <t>Oct-25</t>
    </r>
  </si>
  <si>
    <r>
      <t xml:space="preserve">ETAT DE PAIE LAVAGE CITERNE </t>
    </r>
    <r>
      <rPr>
        <b/>
        <sz val="18"/>
        <color rgb="FFFF0000"/>
        <rFont val="Arial"/>
        <family val="2"/>
      </rPr>
      <t>Oct-25</t>
    </r>
  </si>
  <si>
    <r>
      <t xml:space="preserve">ETAT DE PAIE RAMASSAGE FDT DIVISION 3 </t>
    </r>
    <r>
      <rPr>
        <b/>
        <sz val="14"/>
        <color rgb="FFFF0000"/>
        <rFont val="Times New Roman"/>
        <family val="1"/>
      </rPr>
      <t>Oct-25</t>
    </r>
  </si>
  <si>
    <r>
      <t xml:space="preserve">ETAT DE PAIE FAUCHAGE DIVISION 3 </t>
    </r>
    <r>
      <rPr>
        <b/>
        <sz val="14"/>
        <color rgb="FFFF0000"/>
        <rFont val="Times New Roman"/>
        <family val="1"/>
      </rPr>
      <t>Oct-25</t>
    </r>
  </si>
  <si>
    <r>
      <t>ETAT DE PAIE SAIGNEE DIVISION 3</t>
    </r>
    <r>
      <rPr>
        <b/>
        <sz val="14"/>
        <color rgb="FFFF0000"/>
        <rFont val="Times New Roman"/>
        <family val="1"/>
      </rPr>
      <t xml:space="preserve"> Oct-25</t>
    </r>
  </si>
  <si>
    <r>
      <rPr>
        <b/>
        <sz val="14"/>
        <color theme="1"/>
        <rFont val="Times New Roman"/>
        <family val="1"/>
      </rPr>
      <t>GARDIENNAGE</t>
    </r>
    <r>
      <rPr>
        <b/>
        <sz val="14"/>
        <color rgb="FFC00000"/>
        <rFont val="Times New Roman"/>
        <family val="1"/>
      </rPr>
      <t xml:space="preserve"> Oct-25</t>
    </r>
  </si>
  <si>
    <r>
      <t xml:space="preserve">ETAT DE PAIE SAIGNEE BALET </t>
    </r>
    <r>
      <rPr>
        <b/>
        <sz val="15"/>
        <color rgb="FFFF0000"/>
        <rFont val="Times New Roman"/>
        <family val="1"/>
      </rPr>
      <t>Oct-25</t>
    </r>
  </si>
  <si>
    <r>
      <t xml:space="preserve">  ETAT DE PAIE TIEVIESSOU </t>
    </r>
    <r>
      <rPr>
        <b/>
        <sz val="22"/>
        <color rgb="FFFF0000"/>
        <rFont val="Arial"/>
        <family val="2"/>
      </rPr>
      <t>Oct-25</t>
    </r>
  </si>
  <si>
    <r>
      <rPr>
        <b/>
        <sz val="14"/>
        <color theme="1"/>
        <rFont val="Times New Roman"/>
        <family val="1"/>
      </rPr>
      <t>RAMASSAGE FDT ET FAUCHAG</t>
    </r>
    <r>
      <rPr>
        <b/>
        <sz val="14"/>
        <color rgb="FFC00000"/>
        <rFont val="Times New Roman"/>
        <family val="1"/>
      </rPr>
      <t>E Oct-25</t>
    </r>
  </si>
  <si>
    <r>
      <t xml:space="preserve">ETAT DE PAIE MOTARDS TOUPAH </t>
    </r>
    <r>
      <rPr>
        <b/>
        <sz val="16"/>
        <color rgb="FFFF0000"/>
        <rFont val="Times New Roman"/>
        <family val="1"/>
      </rPr>
      <t>Oct-25</t>
    </r>
  </si>
  <si>
    <r>
      <t xml:space="preserve">ETAT DE PAIE MOTARDS OUSROU </t>
    </r>
    <r>
      <rPr>
        <b/>
        <sz val="16"/>
        <color rgb="FFFF0000"/>
        <rFont val="Times New Roman"/>
        <family val="1"/>
      </rPr>
      <t>Oct-25</t>
    </r>
  </si>
  <si>
    <t>01 50 03 83 14</t>
  </si>
  <si>
    <t>Doho Olivier</t>
  </si>
  <si>
    <t xml:space="preserve">05 65 57 67 10 </t>
  </si>
  <si>
    <t>Yapi Assi</t>
  </si>
  <si>
    <t>Loba Clovis</t>
  </si>
  <si>
    <t>Kouakou Fabrice</t>
  </si>
  <si>
    <t>Agnéro Jean</t>
  </si>
  <si>
    <t>Boni Mardoché</t>
  </si>
  <si>
    <t>Binimou Nico</t>
  </si>
  <si>
    <t>01 72 73 94 52</t>
  </si>
  <si>
    <t>05 54 29 98 10</t>
  </si>
  <si>
    <t>01 03 80 02 64</t>
  </si>
  <si>
    <t>01 03 61 15 77</t>
  </si>
  <si>
    <t>05 65 23 32 13</t>
  </si>
  <si>
    <t>Bakayoko Fanta</t>
  </si>
  <si>
    <t>Darakoum Abibou</t>
  </si>
  <si>
    <t>Kafando Clarice</t>
  </si>
  <si>
    <t>Sanou Sita</t>
  </si>
  <si>
    <t>Zong Naba Zalissa</t>
  </si>
  <si>
    <t>Douhou Gueladass</t>
  </si>
  <si>
    <t>Seka Emeric</t>
  </si>
  <si>
    <t>Vry Emmanuel</t>
  </si>
  <si>
    <r>
      <t xml:space="preserve">ETAT DE PAIE FAUCHAGE BONGO/ </t>
    </r>
    <r>
      <rPr>
        <b/>
        <sz val="11"/>
        <color rgb="FFFF0000"/>
        <rFont val="Times New Roman"/>
        <family val="1"/>
      </rPr>
      <t>Oct-2025</t>
    </r>
  </si>
  <si>
    <t>Kpan Herman</t>
  </si>
  <si>
    <t>Somé Koumpor</t>
  </si>
  <si>
    <t>H07NE</t>
  </si>
  <si>
    <t>HG06</t>
  </si>
  <si>
    <t>D08SW-D09SE</t>
  </si>
  <si>
    <t>E08W</t>
  </si>
  <si>
    <t>G08</t>
  </si>
  <si>
    <t>FG07-08</t>
  </si>
  <si>
    <t>ZON ROSELINE</t>
  </si>
  <si>
    <t>DABOU JUSTINE</t>
  </si>
  <si>
    <t>LOHES RUTH</t>
  </si>
  <si>
    <t>ETAT DE PAIE OCTOBRE 2025 (BETTIE)</t>
  </si>
  <si>
    <t xml:space="preserve">MONTANT </t>
  </si>
  <si>
    <t>07 97 81 39 60</t>
  </si>
  <si>
    <t>07 87 74 28 75</t>
  </si>
  <si>
    <t>05 66 91 73 71</t>
  </si>
  <si>
    <t>Zon Roseline</t>
  </si>
  <si>
    <t>Dabou Justine</t>
  </si>
  <si>
    <t>Lohes Ruth</t>
  </si>
  <si>
    <t>Essis Esmel Gervais</t>
  </si>
  <si>
    <t>05 65 43 75 16</t>
  </si>
  <si>
    <t>05 06 58 01 95</t>
  </si>
  <si>
    <t>07 97 71 71 08</t>
  </si>
  <si>
    <t>05 44 64 68 32</t>
  </si>
  <si>
    <t>B17</t>
  </si>
  <si>
    <t>B20</t>
  </si>
  <si>
    <t>C20</t>
  </si>
  <si>
    <t>A14</t>
  </si>
  <si>
    <r>
      <t xml:space="preserve">ETAT DE PAIE FINAL SUPPLETIFS TOUPAH </t>
    </r>
    <r>
      <rPr>
        <b/>
        <sz val="18"/>
        <color rgb="FFFF0000"/>
        <rFont val="Times New Roman"/>
        <family val="1"/>
      </rPr>
      <t>Oct-25</t>
    </r>
  </si>
  <si>
    <t>01 03 34 82 39</t>
  </si>
  <si>
    <t>LIGNE 2</t>
  </si>
  <si>
    <t>05 02 26 22 79</t>
  </si>
  <si>
    <t>07 09 62 73 89</t>
  </si>
  <si>
    <t>Yobouet Amon</t>
  </si>
  <si>
    <t>Bangné Aimé Francis</t>
  </si>
  <si>
    <t>05 75 11 59 71</t>
  </si>
  <si>
    <t xml:space="preserve">     </t>
  </si>
  <si>
    <t>Kamran Hervé</t>
  </si>
  <si>
    <t>Machette à prélever</t>
  </si>
  <si>
    <t xml:space="preserve">01 02 80 42 89 </t>
  </si>
  <si>
    <t>K23</t>
  </si>
  <si>
    <r>
      <t xml:space="preserve">PIQUETAGE </t>
    </r>
    <r>
      <rPr>
        <b/>
        <sz val="14"/>
        <color rgb="FFFF0000"/>
        <rFont val="Times New Roman"/>
        <family val="1"/>
      </rPr>
      <t>Oct-25</t>
    </r>
  </si>
  <si>
    <t>N'djonou Jean Yves</t>
  </si>
  <si>
    <t>Koffi Wilfried</t>
  </si>
  <si>
    <t>Kam Olé</t>
  </si>
  <si>
    <t>Konan Léwis</t>
  </si>
  <si>
    <t>01 60 41 05 82</t>
  </si>
  <si>
    <t>01 50 57 82 54</t>
  </si>
  <si>
    <t>01 50 03 86 72</t>
  </si>
  <si>
    <r>
      <t xml:space="preserve">TROUAISON </t>
    </r>
    <r>
      <rPr>
        <b/>
        <sz val="14"/>
        <color rgb="FFFF0000"/>
        <rFont val="Times New Roman"/>
        <family val="1"/>
      </rPr>
      <t>Oct-25</t>
    </r>
  </si>
  <si>
    <t>Tapsoba Maimounata</t>
  </si>
  <si>
    <t>Hien Thérèse</t>
  </si>
  <si>
    <t>Somdakoum Rachida</t>
  </si>
  <si>
    <t>Konan Lewis</t>
  </si>
  <si>
    <t>Nuambo Zakaria</t>
  </si>
  <si>
    <t>SUIVI SCIEUR</t>
  </si>
  <si>
    <t>Djiguina Abiba</t>
  </si>
  <si>
    <t>Meda Caroline</t>
  </si>
  <si>
    <t>Tia Jaures</t>
  </si>
  <si>
    <t>Droh Pacome</t>
  </si>
  <si>
    <t>05 06 85 01 61</t>
  </si>
  <si>
    <t>05 46 21 77 02</t>
  </si>
  <si>
    <t>POINTAGE RAMASSAGE FDT OCTOBRE 2025 DIVO</t>
  </si>
  <si>
    <t>COMMENTAIRE</t>
  </si>
  <si>
    <t>Le chargeur GBRIGA DAGO doit etre prélevé pour des jours d'absence au travaille, ce montant doit etre reversé à Mr ILBOUDO: c'est lui qui a payer le remplaçant pendant ces jours d'absence</t>
  </si>
  <si>
    <t xml:space="preserve"> 01 52 74 02 79</t>
  </si>
  <si>
    <t>Fofana Lassina</t>
  </si>
  <si>
    <t>ENTRETIEN VILLAGE</t>
  </si>
  <si>
    <t>07 59 00 83 13</t>
  </si>
  <si>
    <t xml:space="preserve">  </t>
  </si>
  <si>
    <t>Yao Houphouët</t>
  </si>
  <si>
    <t>Brou Fabrice</t>
  </si>
  <si>
    <t>N36</t>
  </si>
  <si>
    <t>O36</t>
  </si>
  <si>
    <t>05 86 04 46 14</t>
  </si>
  <si>
    <t>07 11 62 24 88</t>
  </si>
  <si>
    <t>N'djonou Yves</t>
  </si>
  <si>
    <t>01 50 94 00 42</t>
  </si>
  <si>
    <t>01 41 37 24 08</t>
  </si>
  <si>
    <r>
      <t xml:space="preserve">ROND DE DESHERBAGE </t>
    </r>
    <r>
      <rPr>
        <b/>
        <sz val="14"/>
        <color rgb="FFFF0000"/>
        <rFont val="Times New Roman"/>
        <family val="1"/>
      </rPr>
      <t>Oct-25</t>
    </r>
  </si>
  <si>
    <t>Sorounko Bintou</t>
  </si>
  <si>
    <t xml:space="preserve">05 05 50 41 31 </t>
  </si>
  <si>
    <t xml:space="preserve">05 66 61 02 07 </t>
  </si>
  <si>
    <t xml:space="preserve">05 02 09 47 23 </t>
  </si>
  <si>
    <t xml:space="preserve">07 47 00 28 62 </t>
  </si>
  <si>
    <t>05 44 65 68 32</t>
  </si>
  <si>
    <t xml:space="preserve">05 03 54 23 30 </t>
  </si>
  <si>
    <t>05 07 94 98 07</t>
  </si>
  <si>
    <t>Méda Marie-Nicole</t>
  </si>
  <si>
    <t xml:space="preserve">07 01 95 56 29 </t>
  </si>
  <si>
    <t xml:space="preserve">05 00 57 42 48 </t>
  </si>
  <si>
    <t xml:space="preserve">01 02 34 59 54 </t>
  </si>
  <si>
    <t>M.Ilboudo</t>
  </si>
  <si>
    <t xml:space="preserve">07 07 46 06 71 </t>
  </si>
  <si>
    <t>01 60 11 72 06</t>
  </si>
  <si>
    <t>Gbriga Dago</t>
  </si>
  <si>
    <t>Lamine Siloué</t>
  </si>
  <si>
    <t>Tia Landry</t>
  </si>
  <si>
    <t>CCC/SAPH</t>
  </si>
  <si>
    <t>05 03 24 18 75</t>
  </si>
  <si>
    <t>DABOU</t>
  </si>
  <si>
    <t>01 02 27 54 31</t>
  </si>
  <si>
    <t>GABIADJI (Magasin)</t>
  </si>
  <si>
    <t>05 54 17 94 72</t>
  </si>
  <si>
    <t>Moro Kouassi</t>
  </si>
  <si>
    <t>Yao Benjamin</t>
  </si>
  <si>
    <t>Bouaffou Philomène</t>
  </si>
  <si>
    <t>Kouadio Kouadio Felix</t>
  </si>
  <si>
    <t>Oké Paul Vincent</t>
  </si>
  <si>
    <t>Bebani Ooumarou</t>
  </si>
  <si>
    <t>N'goran Marceline</t>
  </si>
  <si>
    <t>CUMUL DES ETATS DE PAIE OCTOBRE 2025</t>
  </si>
  <si>
    <t>Plus 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</si>
</sst>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0#&quot; &quot;##&quot; &quot;##&quot; &quot;##&quot; &quot;##"/>
    <numFmt numFmtId="166" formatCode="_-* #,##0\ _€_-;\-* #,##0\ _€_-;_-* &quot;-&quot;??\ _€_-;_-@_-"/>
    <numFmt numFmtId="167" formatCode="_-* #,##0\ [$CFA-300C]_-;\-* #,##0\ [$CFA-300C]_-;_-* &quot;-&quot;\ [$CFA-300C]_-;_-@_-"/>
    <numFmt numFmtId="168" formatCode="#,##0\ [$CFA-300C]"/>
    <numFmt numFmtId="169" formatCode="#,##0\ [$FCFA-2C0C]"/>
    <numFmt numFmtId="170" formatCode="#,##0\ [$F CFA-300C]"/>
    <numFmt numFmtId="171" formatCode="#,##0.0"/>
    <numFmt numFmtId="172" formatCode="d/m;@"/>
    <numFmt numFmtId="173" formatCode="#,##0\ [$CFA-300C];\-#,##0\ [$CFA-300C]"/>
  </numFmts>
  <fonts count="54" x14ac:knownFonts="1">
    <font>
      <sz val="11"/>
      <color theme="1"/>
      <name val="Gill Sans MT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Gill Sans MT"/>
      <family val="2"/>
      <scheme val="minor"/>
    </font>
    <font>
      <b/>
      <sz val="14"/>
      <color theme="1"/>
      <name val="Arial"/>
      <family val="2"/>
    </font>
    <font>
      <sz val="13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rgb="FF002060"/>
      <name val="Arial"/>
      <family val="2"/>
    </font>
    <font>
      <sz val="20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Gill Sans MT"/>
      <family val="2"/>
      <scheme val="minor"/>
    </font>
    <font>
      <sz val="24"/>
      <color theme="1"/>
      <name val="Arial"/>
      <family val="2"/>
    </font>
    <font>
      <b/>
      <sz val="24"/>
      <color rgb="FFFF0000"/>
      <name val="Gill Sans MT"/>
      <family val="2"/>
      <scheme val="minor"/>
    </font>
    <font>
      <sz val="8"/>
      <name val="Gill Sans MT"/>
      <family val="2"/>
      <scheme val="minor"/>
    </font>
    <font>
      <sz val="12"/>
      <color theme="1"/>
      <name val="Gill Sans MT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2060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4"/>
      <name val="Times New Roman"/>
      <family val="1"/>
    </font>
    <font>
      <b/>
      <sz val="14"/>
      <color rgb="FFC00000"/>
      <name val="Times New Roman"/>
      <family val="1"/>
    </font>
    <font>
      <b/>
      <sz val="15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Arial"/>
      <family val="2"/>
    </font>
    <font>
      <b/>
      <sz val="22"/>
      <color rgb="FFFF0000"/>
      <name val="Arial"/>
      <family val="2"/>
    </font>
    <font>
      <b/>
      <sz val="11"/>
      <color rgb="FFFF0000"/>
      <name val="Times New Roman"/>
      <family val="1"/>
    </font>
    <font>
      <b/>
      <u/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26"/>
      <color theme="1"/>
      <name val="Times New Roman"/>
      <family val="1"/>
    </font>
    <font>
      <sz val="16"/>
      <color theme="1"/>
      <name val="Times New Roman"/>
      <family val="1"/>
    </font>
    <font>
      <b/>
      <i/>
      <u/>
      <sz val="16"/>
      <color rgb="FFC00000"/>
      <name val="Times New Roman"/>
      <family val="1"/>
    </font>
    <font>
      <b/>
      <sz val="18"/>
      <color rgb="FFFF0000"/>
      <name val="Arial"/>
      <family val="2"/>
    </font>
    <font>
      <sz val="13"/>
      <color theme="1"/>
      <name val="Times New Roman"/>
      <family val="1"/>
    </font>
    <font>
      <b/>
      <sz val="13"/>
      <color theme="1"/>
      <name val="Gill Sans MT"/>
      <family val="2"/>
      <scheme val="minor"/>
    </font>
    <font>
      <sz val="13"/>
      <color theme="1"/>
      <name val="Gill Sans MT"/>
      <family val="2"/>
      <scheme val="minor"/>
    </font>
    <font>
      <sz val="15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5">
    <xf numFmtId="0" fontId="0" fillId="0" borderId="0" xfId="0"/>
    <xf numFmtId="0" fontId="1" fillId="0" borderId="0" xfId="0" applyFont="1"/>
    <xf numFmtId="0" fontId="6" fillId="0" borderId="0" xfId="0" applyFont="1"/>
    <xf numFmtId="164" fontId="10" fillId="0" borderId="0" xfId="1" applyNumberFormat="1" applyFont="1" applyBorder="1" applyAlignment="1">
      <alignment horizontal="center" vertical="center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67" fontId="9" fillId="2" borderId="2" xfId="1" applyNumberFormat="1" applyFont="1" applyFill="1" applyBorder="1"/>
    <xf numFmtId="167" fontId="0" fillId="0" borderId="0" xfId="0" applyNumberFormat="1"/>
    <xf numFmtId="167" fontId="6" fillId="0" borderId="0" xfId="0" applyNumberFormat="1" applyFont="1"/>
    <xf numFmtId="167" fontId="1" fillId="0" borderId="0" xfId="1" applyNumberFormat="1" applyFont="1"/>
    <xf numFmtId="0" fontId="9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167" fontId="10" fillId="6" borderId="0" xfId="1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0" fontId="8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20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170" fontId="20" fillId="0" borderId="2" xfId="0" applyNumberFormat="1" applyFont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170" fontId="21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0" borderId="0" xfId="0" applyFont="1"/>
    <xf numFmtId="167" fontId="21" fillId="8" borderId="2" xfId="1" applyNumberFormat="1" applyFont="1" applyFill="1" applyBorder="1" applyAlignment="1">
      <alignment horizontal="center" wrapText="1"/>
    </xf>
    <xf numFmtId="166" fontId="21" fillId="8" borderId="2" xfId="1" applyNumberFormat="1" applyFont="1" applyFill="1" applyBorder="1" applyAlignment="1">
      <alignment horizontal="center" wrapText="1"/>
    </xf>
    <xf numFmtId="167" fontId="21" fillId="3" borderId="2" xfId="1" applyNumberFormat="1" applyFont="1" applyFill="1" applyBorder="1" applyAlignment="1">
      <alignment horizontal="center" wrapText="1"/>
    </xf>
    <xf numFmtId="0" fontId="21" fillId="0" borderId="2" xfId="0" applyFont="1" applyBorder="1" applyAlignment="1">
      <alignment horizontal="left"/>
    </xf>
    <xf numFmtId="0" fontId="21" fillId="2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3" fontId="21" fillId="2" borderId="2" xfId="0" applyNumberFormat="1" applyFont="1" applyFill="1" applyBorder="1" applyAlignment="1">
      <alignment horizontal="center"/>
    </xf>
    <xf numFmtId="165" fontId="21" fillId="2" borderId="2" xfId="1" applyNumberFormat="1" applyFont="1" applyFill="1" applyBorder="1" applyAlignment="1">
      <alignment horizontal="center"/>
    </xf>
    <xf numFmtId="164" fontId="21" fillId="2" borderId="2" xfId="1" applyNumberFormat="1" applyFont="1" applyFill="1" applyBorder="1" applyAlignment="1">
      <alignment horizontal="center"/>
    </xf>
    <xf numFmtId="43" fontId="21" fillId="2" borderId="2" xfId="1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1" fillId="0" borderId="2" xfId="0" applyFont="1" applyBorder="1"/>
    <xf numFmtId="0" fontId="21" fillId="2" borderId="2" xfId="0" applyFont="1" applyFill="1" applyBorder="1"/>
    <xf numFmtId="0" fontId="27" fillId="0" borderId="0" xfId="0" applyFont="1" applyAlignment="1">
      <alignment horizontal="center"/>
    </xf>
    <xf numFmtId="0" fontId="27" fillId="0" borderId="0" xfId="0" applyFont="1"/>
    <xf numFmtId="0" fontId="28" fillId="4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169" fontId="2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20" fillId="2" borderId="2" xfId="0" applyFont="1" applyFill="1" applyBorder="1"/>
    <xf numFmtId="167" fontId="21" fillId="2" borderId="2" xfId="1" applyNumberFormat="1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 vertical="center"/>
    </xf>
    <xf numFmtId="167" fontId="21" fillId="0" borderId="0" xfId="0" applyNumberFormat="1" applyFont="1"/>
    <xf numFmtId="0" fontId="23" fillId="0" borderId="2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23" fillId="4" borderId="2" xfId="0" applyFont="1" applyFill="1" applyBorder="1" applyAlignment="1">
      <alignment horizontal="center"/>
    </xf>
    <xf numFmtId="167" fontId="23" fillId="4" borderId="2" xfId="0" applyNumberFormat="1" applyFont="1" applyFill="1" applyBorder="1" applyAlignment="1">
      <alignment horizontal="center"/>
    </xf>
    <xf numFmtId="0" fontId="23" fillId="4" borderId="2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2" xfId="0" applyFont="1" applyBorder="1" applyAlignment="1">
      <alignment horizontal="left"/>
    </xf>
    <xf numFmtId="0" fontId="20" fillId="2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left"/>
    </xf>
    <xf numFmtId="0" fontId="23" fillId="9" borderId="2" xfId="0" applyFont="1" applyFill="1" applyBorder="1" applyAlignment="1">
      <alignment horizontal="center"/>
    </xf>
    <xf numFmtId="164" fontId="27" fillId="0" borderId="0" xfId="0" applyNumberFormat="1" applyFont="1"/>
    <xf numFmtId="167" fontId="23" fillId="4" borderId="2" xfId="0" applyNumberFormat="1" applyFont="1" applyFill="1" applyBorder="1" applyAlignment="1">
      <alignment horizontal="center" vertical="center"/>
    </xf>
    <xf numFmtId="0" fontId="23" fillId="0" borderId="2" xfId="0" applyFont="1" applyBorder="1"/>
    <xf numFmtId="0" fontId="30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center"/>
    </xf>
    <xf numFmtId="170" fontId="21" fillId="0" borderId="14" xfId="0" applyNumberFormat="1" applyFont="1" applyBorder="1" applyAlignment="1">
      <alignment horizontal="center"/>
    </xf>
    <xf numFmtId="167" fontId="21" fillId="0" borderId="0" xfId="0" applyNumberFormat="1" applyFont="1" applyAlignment="1">
      <alignment horizontal="center"/>
    </xf>
    <xf numFmtId="0" fontId="34" fillId="9" borderId="0" xfId="0" applyFont="1" applyFill="1" applyAlignment="1">
      <alignment horizontal="center"/>
    </xf>
    <xf numFmtId="170" fontId="34" fillId="9" borderId="0" xfId="0" applyNumberFormat="1" applyFont="1" applyFill="1" applyAlignment="1">
      <alignment horizontal="center"/>
    </xf>
    <xf numFmtId="170" fontId="23" fillId="0" borderId="12" xfId="0" applyNumberFormat="1" applyFont="1" applyBorder="1" applyAlignment="1">
      <alignment horizontal="center"/>
    </xf>
    <xf numFmtId="170" fontId="23" fillId="0" borderId="10" xfId="0" applyNumberFormat="1" applyFont="1" applyBorder="1" applyAlignment="1">
      <alignment horizontal="center"/>
    </xf>
    <xf numFmtId="170" fontId="23" fillId="0" borderId="2" xfId="0" applyNumberFormat="1" applyFont="1" applyBorder="1" applyAlignment="1">
      <alignment horizontal="center"/>
    </xf>
    <xf numFmtId="170" fontId="21" fillId="0" borderId="0" xfId="0" applyNumberFormat="1" applyFont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left"/>
    </xf>
    <xf numFmtId="167" fontId="23" fillId="3" borderId="2" xfId="0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23" fillId="4" borderId="2" xfId="0" applyFont="1" applyFill="1" applyBorder="1" applyAlignment="1">
      <alignment horizontal="left" vertical="center"/>
    </xf>
    <xf numFmtId="170" fontId="23" fillId="2" borderId="0" xfId="0" applyNumberFormat="1" applyFont="1" applyFill="1" applyAlignment="1">
      <alignment horizontal="center"/>
    </xf>
    <xf numFmtId="170" fontId="23" fillId="4" borderId="2" xfId="0" applyNumberFormat="1" applyFont="1" applyFill="1" applyBorder="1" applyAlignment="1">
      <alignment horizontal="center" vertical="center"/>
    </xf>
    <xf numFmtId="170" fontId="21" fillId="0" borderId="0" xfId="0" applyNumberFormat="1" applyFont="1"/>
    <xf numFmtId="171" fontId="21" fillId="0" borderId="0" xfId="0" applyNumberFormat="1" applyFont="1" applyAlignment="1">
      <alignment horizontal="center"/>
    </xf>
    <xf numFmtId="0" fontId="23" fillId="4" borderId="20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vertical="center"/>
    </xf>
    <xf numFmtId="169" fontId="23" fillId="7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/>
    </xf>
    <xf numFmtId="170" fontId="30" fillId="2" borderId="0" xfId="0" applyNumberFormat="1" applyFont="1" applyFill="1" applyAlignment="1">
      <alignment horizontal="center"/>
    </xf>
    <xf numFmtId="0" fontId="21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166" fontId="23" fillId="10" borderId="2" xfId="1" applyNumberFormat="1" applyFont="1" applyFill="1" applyBorder="1" applyAlignment="1">
      <alignment horizontal="center" vertical="center" wrapText="1"/>
    </xf>
    <xf numFmtId="166" fontId="19" fillId="10" borderId="3" xfId="1" applyNumberFormat="1" applyFont="1" applyFill="1" applyBorder="1" applyAlignment="1">
      <alignment horizontal="center" vertical="center"/>
    </xf>
    <xf numFmtId="167" fontId="20" fillId="2" borderId="3" xfId="1" applyNumberFormat="1" applyFont="1" applyFill="1" applyBorder="1" applyAlignment="1"/>
    <xf numFmtId="166" fontId="21" fillId="8" borderId="5" xfId="1" applyNumberFormat="1" applyFont="1" applyFill="1" applyBorder="1" applyAlignment="1">
      <alignment horizontal="center" wrapText="1"/>
    </xf>
    <xf numFmtId="167" fontId="24" fillId="10" borderId="0" xfId="0" applyNumberFormat="1" applyFont="1" applyFill="1"/>
    <xf numFmtId="0" fontId="21" fillId="10" borderId="0" xfId="0" applyFont="1" applyFill="1" applyAlignment="1">
      <alignment horizontal="center" wrapText="1"/>
    </xf>
    <xf numFmtId="0" fontId="21" fillId="10" borderId="0" xfId="0" applyFont="1" applyFill="1"/>
    <xf numFmtId="0" fontId="29" fillId="0" borderId="0" xfId="0" applyFont="1" applyAlignment="1">
      <alignment vertical="center" wrapText="1"/>
    </xf>
    <xf numFmtId="3" fontId="38" fillId="2" borderId="2" xfId="0" applyNumberFormat="1" applyFont="1" applyFill="1" applyBorder="1" applyAlignment="1">
      <alignment horizontal="center"/>
    </xf>
    <xf numFmtId="164" fontId="38" fillId="2" borderId="2" xfId="1" applyNumberFormat="1" applyFont="1" applyFill="1" applyBorder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8" fontId="29" fillId="0" borderId="0" xfId="0" applyNumberFormat="1" applyFont="1" applyAlignment="1">
      <alignment horizontal="center" vertical="center" wrapText="1"/>
    </xf>
    <xf numFmtId="168" fontId="38" fillId="2" borderId="2" xfId="1" applyNumberFormat="1" applyFont="1" applyFill="1" applyBorder="1" applyAlignment="1">
      <alignment horizontal="center"/>
    </xf>
    <xf numFmtId="168" fontId="27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/>
    </xf>
    <xf numFmtId="0" fontId="38" fillId="2" borderId="2" xfId="0" applyFont="1" applyFill="1" applyBorder="1"/>
    <xf numFmtId="0" fontId="38" fillId="0" borderId="0" xfId="0" applyFont="1"/>
    <xf numFmtId="0" fontId="20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5" borderId="2" xfId="0" applyFont="1" applyFill="1" applyBorder="1" applyAlignment="1">
      <alignment vertical="center"/>
    </xf>
    <xf numFmtId="168" fontId="39" fillId="5" borderId="2" xfId="0" applyNumberFormat="1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168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/>
    <xf numFmtId="0" fontId="39" fillId="0" borderId="19" xfId="0" applyFont="1" applyBorder="1"/>
    <xf numFmtId="0" fontId="38" fillId="0" borderId="2" xfId="0" applyFont="1" applyBorder="1" applyAlignment="1">
      <alignment horizontal="left"/>
    </xf>
    <xf numFmtId="0" fontId="23" fillId="0" borderId="0" xfId="0" applyFont="1" applyAlignment="1">
      <alignment horizontal="center" wrapText="1"/>
    </xf>
    <xf numFmtId="170" fontId="23" fillId="0" borderId="17" xfId="0" applyNumberFormat="1" applyFont="1" applyBorder="1"/>
    <xf numFmtId="168" fontId="21" fillId="0" borderId="2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164" fontId="21" fillId="2" borderId="0" xfId="1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0" fontId="34" fillId="9" borderId="2" xfId="0" applyFont="1" applyFill="1" applyBorder="1" applyAlignment="1">
      <alignment horizontal="center"/>
    </xf>
    <xf numFmtId="170" fontId="34" fillId="9" borderId="2" xfId="0" applyNumberFormat="1" applyFont="1" applyFill="1" applyBorder="1" applyAlignment="1">
      <alignment horizontal="center"/>
    </xf>
    <xf numFmtId="168" fontId="21" fillId="0" borderId="0" xfId="0" applyNumberFormat="1" applyFont="1" applyAlignment="1">
      <alignment horizontal="center"/>
    </xf>
    <xf numFmtId="169" fontId="23" fillId="7" borderId="3" xfId="0" applyNumberFormat="1" applyFont="1" applyFill="1" applyBorder="1" applyAlignment="1">
      <alignment horizontal="center"/>
    </xf>
    <xf numFmtId="169" fontId="23" fillId="7" borderId="5" xfId="0" applyNumberFormat="1" applyFont="1" applyFill="1" applyBorder="1" applyAlignment="1">
      <alignment horizontal="center"/>
    </xf>
    <xf numFmtId="0" fontId="34" fillId="9" borderId="2" xfId="0" applyFont="1" applyFill="1" applyBorder="1" applyAlignment="1">
      <alignment horizontal="left"/>
    </xf>
    <xf numFmtId="168" fontId="29" fillId="0" borderId="6" xfId="0" applyNumberFormat="1" applyFont="1" applyBorder="1" applyAlignment="1">
      <alignment horizontal="center"/>
    </xf>
    <xf numFmtId="3" fontId="23" fillId="0" borderId="19" xfId="0" applyNumberFormat="1" applyFont="1" applyBorder="1" applyAlignment="1">
      <alignment horizontal="center"/>
    </xf>
    <xf numFmtId="3" fontId="23" fillId="7" borderId="3" xfId="0" applyNumberFormat="1" applyFont="1" applyFill="1" applyBorder="1" applyAlignment="1">
      <alignment horizontal="center"/>
    </xf>
    <xf numFmtId="170" fontId="23" fillId="3" borderId="0" xfId="0" applyNumberFormat="1" applyFont="1" applyFill="1"/>
    <xf numFmtId="0" fontId="23" fillId="5" borderId="2" xfId="0" applyFont="1" applyFill="1" applyBorder="1" applyAlignment="1">
      <alignment horizontal="center" vertical="center"/>
    </xf>
    <xf numFmtId="167" fontId="23" fillId="5" borderId="2" xfId="0" applyNumberFormat="1" applyFont="1" applyFill="1" applyBorder="1" applyAlignment="1">
      <alignment horizontal="center" vertical="center"/>
    </xf>
    <xf numFmtId="167" fontId="30" fillId="5" borderId="0" xfId="0" applyNumberFormat="1" applyFont="1" applyFill="1" applyAlignment="1">
      <alignment horizontal="center"/>
    </xf>
    <xf numFmtId="170" fontId="23" fillId="8" borderId="6" xfId="0" applyNumberFormat="1" applyFont="1" applyFill="1" applyBorder="1" applyAlignment="1">
      <alignment horizontal="center" vertical="top"/>
    </xf>
    <xf numFmtId="0" fontId="23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21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wrapText="1"/>
    </xf>
    <xf numFmtId="0" fontId="21" fillId="7" borderId="9" xfId="0" applyFont="1" applyFill="1" applyBorder="1" applyAlignment="1">
      <alignment horizontal="center"/>
    </xf>
    <xf numFmtId="170" fontId="23" fillId="7" borderId="10" xfId="0" applyNumberFormat="1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164" fontId="21" fillId="2" borderId="0" xfId="1" applyNumberFormat="1" applyFont="1" applyFill="1" applyBorder="1" applyAlignment="1">
      <alignment horizontal="center"/>
    </xf>
    <xf numFmtId="168" fontId="23" fillId="3" borderId="15" xfId="0" applyNumberFormat="1" applyFont="1" applyFill="1" applyBorder="1" applyAlignment="1">
      <alignment horizontal="center"/>
    </xf>
    <xf numFmtId="168" fontId="23" fillId="0" borderId="4" xfId="0" applyNumberFormat="1" applyFont="1" applyBorder="1" applyAlignment="1">
      <alignment horizontal="center"/>
    </xf>
    <xf numFmtId="168" fontId="23" fillId="8" borderId="6" xfId="0" applyNumberFormat="1" applyFont="1" applyFill="1" applyBorder="1" applyAlignment="1">
      <alignment horizontal="center" vertical="top"/>
    </xf>
    <xf numFmtId="168" fontId="23" fillId="0" borderId="7" xfId="0" applyNumberFormat="1" applyFont="1" applyBorder="1" applyAlignment="1">
      <alignment horizontal="center" vertical="top"/>
    </xf>
    <xf numFmtId="168" fontId="21" fillId="0" borderId="0" xfId="0" applyNumberFormat="1" applyFont="1" applyAlignment="1">
      <alignment horizontal="center" vertical="top"/>
    </xf>
    <xf numFmtId="168" fontId="23" fillId="7" borderId="6" xfId="0" applyNumberFormat="1" applyFont="1" applyFill="1" applyBorder="1" applyAlignment="1">
      <alignment horizontal="center" vertical="center"/>
    </xf>
    <xf numFmtId="168" fontId="23" fillId="0" borderId="7" xfId="0" applyNumberFormat="1" applyFont="1" applyBorder="1" applyAlignment="1">
      <alignment horizontal="center" vertical="center"/>
    </xf>
    <xf numFmtId="168" fontId="23" fillId="7" borderId="12" xfId="0" applyNumberFormat="1" applyFont="1" applyFill="1" applyBorder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68" fontId="23" fillId="3" borderId="6" xfId="0" applyNumberFormat="1" applyFont="1" applyFill="1" applyBorder="1" applyAlignment="1">
      <alignment horizontal="center" vertical="top"/>
    </xf>
    <xf numFmtId="3" fontId="23" fillId="7" borderId="0" xfId="0" applyNumberFormat="1" applyFont="1" applyFill="1" applyAlignment="1">
      <alignment horizontal="center" vertical="center"/>
    </xf>
    <xf numFmtId="170" fontId="41" fillId="0" borderId="2" xfId="0" applyNumberFormat="1" applyFont="1" applyBorder="1" applyAlignment="1">
      <alignment horizontal="center"/>
    </xf>
    <xf numFmtId="170" fontId="41" fillId="0" borderId="2" xfId="0" applyNumberFormat="1" applyFont="1" applyBorder="1"/>
    <xf numFmtId="0" fontId="34" fillId="5" borderId="2" xfId="0" applyFont="1" applyFill="1" applyBorder="1" applyAlignment="1">
      <alignment horizontal="center"/>
    </xf>
    <xf numFmtId="170" fontId="34" fillId="5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1" fillId="0" borderId="5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1" fillId="0" borderId="25" xfId="0" applyFont="1" applyBorder="1"/>
    <xf numFmtId="0" fontId="23" fillId="5" borderId="2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45" fillId="8" borderId="2" xfId="0" applyFont="1" applyFill="1" applyBorder="1"/>
    <xf numFmtId="170" fontId="26" fillId="2" borderId="12" xfId="0" applyNumberFormat="1" applyFont="1" applyFill="1" applyBorder="1" applyAlignment="1">
      <alignment horizontal="center" vertical="center"/>
    </xf>
    <xf numFmtId="0" fontId="45" fillId="7" borderId="2" xfId="0" applyFont="1" applyFill="1" applyBorder="1"/>
    <xf numFmtId="0" fontId="45" fillId="3" borderId="2" xfId="0" applyFont="1" applyFill="1" applyBorder="1"/>
    <xf numFmtId="0" fontId="45" fillId="0" borderId="2" xfId="0" applyFont="1" applyBorder="1"/>
    <xf numFmtId="0" fontId="22" fillId="0" borderId="0" xfId="0" applyFont="1" applyAlignment="1">
      <alignment horizontal="center" vertical="center"/>
    </xf>
    <xf numFmtId="170" fontId="23" fillId="0" borderId="7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3" fontId="23" fillId="0" borderId="7" xfId="0" applyNumberFormat="1" applyFont="1" applyBorder="1" applyAlignment="1">
      <alignment horizontal="center"/>
    </xf>
    <xf numFmtId="0" fontId="21" fillId="0" borderId="2" xfId="0" applyFont="1" applyBorder="1" applyAlignment="1">
      <alignment horizontal="left" vertical="top"/>
    </xf>
    <xf numFmtId="0" fontId="47" fillId="0" borderId="0" xfId="0" applyFont="1"/>
    <xf numFmtId="0" fontId="22" fillId="0" borderId="2" xfId="0" applyFont="1" applyBorder="1" applyAlignment="1">
      <alignment horizontal="center"/>
    </xf>
    <xf numFmtId="167" fontId="22" fillId="0" borderId="2" xfId="0" applyNumberFormat="1" applyFont="1" applyBorder="1" applyAlignment="1">
      <alignment horizontal="center"/>
    </xf>
    <xf numFmtId="0" fontId="22" fillId="0" borderId="2" xfId="0" applyFont="1" applyBorder="1"/>
    <xf numFmtId="167" fontId="47" fillId="0" borderId="0" xfId="0" applyNumberFormat="1" applyFont="1"/>
    <xf numFmtId="167" fontId="20" fillId="14" borderId="3" xfId="1" applyNumberFormat="1" applyFont="1" applyFill="1" applyBorder="1" applyAlignment="1"/>
    <xf numFmtId="0" fontId="23" fillId="3" borderId="0" xfId="0" applyFont="1" applyFill="1" applyAlignment="1">
      <alignment horizontal="center"/>
    </xf>
    <xf numFmtId="3" fontId="37" fillId="2" borderId="17" xfId="0" applyNumberFormat="1" applyFont="1" applyFill="1" applyBorder="1" applyAlignment="1">
      <alignment horizontal="center"/>
    </xf>
    <xf numFmtId="168" fontId="37" fillId="2" borderId="17" xfId="0" applyNumberFormat="1" applyFont="1" applyFill="1" applyBorder="1" applyAlignment="1">
      <alignment horizontal="center"/>
    </xf>
    <xf numFmtId="168" fontId="23" fillId="3" borderId="0" xfId="0" applyNumberFormat="1" applyFont="1" applyFill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0" fontId="21" fillId="0" borderId="0" xfId="0" applyFont="1" applyAlignment="1">
      <alignment wrapText="1"/>
    </xf>
    <xf numFmtId="0" fontId="23" fillId="0" borderId="2" xfId="0" applyFont="1" applyBorder="1" applyAlignment="1">
      <alignment wrapText="1"/>
    </xf>
    <xf numFmtId="0" fontId="21" fillId="8" borderId="10" xfId="0" applyFont="1" applyFill="1" applyBorder="1"/>
    <xf numFmtId="167" fontId="30" fillId="3" borderId="2" xfId="0" applyNumberFormat="1" applyFont="1" applyFill="1" applyBorder="1"/>
    <xf numFmtId="0" fontId="22" fillId="0" borderId="0" xfId="0" applyFont="1" applyAlignment="1">
      <alignment horizontal="center"/>
    </xf>
    <xf numFmtId="170" fontId="21" fillId="2" borderId="2" xfId="0" applyNumberFormat="1" applyFont="1" applyFill="1" applyBorder="1" applyAlignment="1">
      <alignment horizontal="center" vertical="center"/>
    </xf>
    <xf numFmtId="169" fontId="21" fillId="0" borderId="2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48" fillId="0" borderId="0" xfId="0" applyFont="1"/>
    <xf numFmtId="167" fontId="20" fillId="0" borderId="3" xfId="1" applyNumberFormat="1" applyFont="1" applyFill="1" applyBorder="1" applyAlignment="1"/>
    <xf numFmtId="3" fontId="41" fillId="0" borderId="2" xfId="0" applyNumberFormat="1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17" fontId="21" fillId="0" borderId="0" xfId="0" applyNumberFormat="1" applyFont="1" applyAlignment="1">
      <alignment horizontal="center"/>
    </xf>
    <xf numFmtId="166" fontId="23" fillId="10" borderId="3" xfId="1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center"/>
    </xf>
    <xf numFmtId="167" fontId="23" fillId="3" borderId="0" xfId="0" applyNumberFormat="1" applyFont="1" applyFill="1"/>
    <xf numFmtId="170" fontId="23" fillId="3" borderId="19" xfId="0" applyNumberFormat="1" applyFont="1" applyFill="1" applyBorder="1" applyAlignment="1">
      <alignment horizontal="center"/>
    </xf>
    <xf numFmtId="168" fontId="23" fillId="3" borderId="8" xfId="0" applyNumberFormat="1" applyFont="1" applyFill="1" applyBorder="1" applyAlignment="1">
      <alignment horizontal="center"/>
    </xf>
    <xf numFmtId="170" fontId="23" fillId="3" borderId="18" xfId="0" applyNumberFormat="1" applyFont="1" applyFill="1" applyBorder="1" applyAlignment="1">
      <alignment horizontal="center"/>
    </xf>
    <xf numFmtId="170" fontId="23" fillId="7" borderId="12" xfId="0" applyNumberFormat="1" applyFont="1" applyFill="1" applyBorder="1"/>
    <xf numFmtId="168" fontId="21" fillId="0" borderId="0" xfId="0" applyNumberFormat="1" applyFont="1"/>
    <xf numFmtId="0" fontId="23" fillId="0" borderId="3" xfId="0" applyFont="1" applyBorder="1" applyAlignment="1">
      <alignment horizontal="left"/>
    </xf>
    <xf numFmtId="170" fontId="23" fillId="3" borderId="8" xfId="0" applyNumberFormat="1" applyFont="1" applyFill="1" applyBorder="1" applyAlignment="1">
      <alignment horizontal="left"/>
    </xf>
    <xf numFmtId="0" fontId="50" fillId="0" borderId="0" xfId="0" applyFont="1"/>
    <xf numFmtId="167" fontId="50" fillId="0" borderId="0" xfId="0" applyNumberFormat="1" applyFont="1"/>
    <xf numFmtId="0" fontId="50" fillId="0" borderId="2" xfId="0" applyFont="1" applyBorder="1"/>
    <xf numFmtId="3" fontId="21" fillId="0" borderId="2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23" fillId="2" borderId="0" xfId="0" applyFont="1" applyFill="1" applyAlignment="1">
      <alignment vertical="center"/>
    </xf>
    <xf numFmtId="0" fontId="21" fillId="16" borderId="2" xfId="0" applyFont="1" applyFill="1" applyBorder="1" applyAlignment="1">
      <alignment horizontal="center"/>
    </xf>
    <xf numFmtId="172" fontId="29" fillId="16" borderId="2" xfId="0" applyNumberFormat="1" applyFont="1" applyFill="1" applyBorder="1"/>
    <xf numFmtId="0" fontId="29" fillId="16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3" fontId="37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3" fontId="37" fillId="13" borderId="2" xfId="0" applyNumberFormat="1" applyFont="1" applyFill="1" applyBorder="1" applyAlignment="1">
      <alignment horizontal="center"/>
    </xf>
    <xf numFmtId="3" fontId="37" fillId="13" borderId="2" xfId="0" applyNumberFormat="1" applyFont="1" applyFill="1" applyBorder="1" applyAlignment="1">
      <alignment horizontal="center" vertical="center"/>
    </xf>
    <xf numFmtId="0" fontId="28" fillId="12" borderId="2" xfId="0" applyFont="1" applyFill="1" applyBorder="1"/>
    <xf numFmtId="0" fontId="19" fillId="3" borderId="2" xfId="0" applyFont="1" applyFill="1" applyBorder="1" applyAlignment="1">
      <alignment horizontal="center"/>
    </xf>
    <xf numFmtId="4" fontId="39" fillId="14" borderId="8" xfId="0" applyNumberFormat="1" applyFont="1" applyFill="1" applyBorder="1" applyAlignment="1">
      <alignment horizontal="center"/>
    </xf>
    <xf numFmtId="4" fontId="39" fillId="2" borderId="8" xfId="0" applyNumberFormat="1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0" fontId="51" fillId="11" borderId="2" xfId="0" applyFont="1" applyFill="1" applyBorder="1" applyAlignment="1">
      <alignment horizontal="center"/>
    </xf>
    <xf numFmtId="0" fontId="51" fillId="11" borderId="2" xfId="0" applyFont="1" applyFill="1" applyBorder="1"/>
    <xf numFmtId="0" fontId="52" fillId="0" borderId="2" xfId="0" applyFont="1" applyBorder="1"/>
    <xf numFmtId="3" fontId="52" fillId="0" borderId="2" xfId="0" applyNumberFormat="1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1" fillId="8" borderId="7" xfId="0" applyFont="1" applyFill="1" applyBorder="1"/>
    <xf numFmtId="3" fontId="51" fillId="8" borderId="7" xfId="0" applyNumberFormat="1" applyFont="1" applyFill="1" applyBorder="1" applyAlignment="1">
      <alignment horizontal="center"/>
    </xf>
    <xf numFmtId="0" fontId="52" fillId="0" borderId="0" xfId="0" applyFont="1"/>
    <xf numFmtId="0" fontId="35" fillId="0" borderId="0" xfId="0" applyFont="1" applyAlignment="1">
      <alignment horizontal="center" vertical="center" wrapText="1"/>
    </xf>
    <xf numFmtId="0" fontId="6" fillId="0" borderId="2" xfId="0" applyFont="1" applyBorder="1"/>
    <xf numFmtId="0" fontId="21" fillId="0" borderId="2" xfId="0" applyFont="1" applyBorder="1" applyAlignment="1">
      <alignment horizontal="center" wrapText="1"/>
    </xf>
    <xf numFmtId="3" fontId="21" fillId="0" borderId="2" xfId="0" applyNumberFormat="1" applyFont="1" applyBorder="1" applyAlignment="1">
      <alignment horizontal="center"/>
    </xf>
    <xf numFmtId="3" fontId="23" fillId="3" borderId="0" xfId="0" applyNumberFormat="1" applyFont="1" applyFill="1" applyAlignment="1">
      <alignment horizontal="center"/>
    </xf>
    <xf numFmtId="166" fontId="21" fillId="14" borderId="3" xfId="1" applyNumberFormat="1" applyFont="1" applyFill="1" applyBorder="1" applyAlignment="1">
      <alignment horizontal="center" vertical="center"/>
    </xf>
    <xf numFmtId="166" fontId="21" fillId="0" borderId="3" xfId="1" applyNumberFormat="1" applyFont="1" applyFill="1" applyBorder="1" applyAlignment="1">
      <alignment horizontal="center" vertical="center"/>
    </xf>
    <xf numFmtId="166" fontId="21" fillId="2" borderId="3" xfId="1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/>
    </xf>
    <xf numFmtId="0" fontId="53" fillId="2" borderId="2" xfId="0" applyFont="1" applyFill="1" applyBorder="1" applyAlignment="1">
      <alignment horizontal="center"/>
    </xf>
    <xf numFmtId="0" fontId="31" fillId="2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/>
    </xf>
    <xf numFmtId="0" fontId="31" fillId="2" borderId="2" xfId="0" applyFont="1" applyFill="1" applyBorder="1" applyAlignment="1">
      <alignment horizontal="center"/>
    </xf>
    <xf numFmtId="170" fontId="23" fillId="3" borderId="0" xfId="0" applyNumberFormat="1" applyFont="1" applyFill="1" applyAlignment="1">
      <alignment horizontal="center"/>
    </xf>
    <xf numFmtId="3" fontId="21" fillId="0" borderId="0" xfId="0" applyNumberFormat="1" applyFont="1"/>
    <xf numFmtId="3" fontId="39" fillId="2" borderId="29" xfId="0" applyNumberFormat="1" applyFont="1" applyFill="1" applyBorder="1" applyAlignment="1">
      <alignment horizontal="center"/>
    </xf>
    <xf numFmtId="168" fontId="21" fillId="3" borderId="2" xfId="0" applyNumberFormat="1" applyFont="1" applyFill="1" applyBorder="1" applyAlignment="1">
      <alignment horizontal="center"/>
    </xf>
    <xf numFmtId="0" fontId="21" fillId="14" borderId="2" xfId="0" applyFont="1" applyFill="1" applyBorder="1" applyAlignment="1">
      <alignment horizontal="center"/>
    </xf>
    <xf numFmtId="167" fontId="20" fillId="2" borderId="2" xfId="1" applyNumberFormat="1" applyFont="1" applyFill="1" applyBorder="1" applyAlignment="1"/>
    <xf numFmtId="166" fontId="21" fillId="7" borderId="5" xfId="1" applyNumberFormat="1" applyFont="1" applyFill="1" applyBorder="1" applyAlignment="1">
      <alignment horizontal="center" wrapText="1"/>
    </xf>
    <xf numFmtId="167" fontId="31" fillId="8" borderId="2" xfId="1" applyNumberFormat="1" applyFont="1" applyFill="1" applyBorder="1" applyAlignment="1">
      <alignment horizontal="center" wrapText="1"/>
    </xf>
    <xf numFmtId="0" fontId="21" fillId="2" borderId="3" xfId="1" applyNumberFormat="1" applyFont="1" applyFill="1" applyBorder="1" applyAlignment="1">
      <alignment horizontal="left" vertical="center"/>
    </xf>
    <xf numFmtId="167" fontId="31" fillId="2" borderId="2" xfId="1" applyNumberFormat="1" applyFont="1" applyFill="1" applyBorder="1" applyAlignment="1">
      <alignment horizontal="center" wrapText="1"/>
    </xf>
    <xf numFmtId="0" fontId="21" fillId="0" borderId="3" xfId="1" applyNumberFormat="1" applyFont="1" applyFill="1" applyBorder="1" applyAlignment="1">
      <alignment horizontal="left" vertical="center"/>
    </xf>
    <xf numFmtId="166" fontId="21" fillId="2" borderId="2" xfId="1" applyNumberFormat="1" applyFont="1" applyFill="1" applyBorder="1" applyAlignment="1">
      <alignment horizontal="center" wrapText="1"/>
    </xf>
    <xf numFmtId="167" fontId="21" fillId="2" borderId="2" xfId="1" applyNumberFormat="1" applyFont="1" applyFill="1" applyBorder="1" applyAlignment="1">
      <alignment horizontal="center" wrapText="1"/>
    </xf>
    <xf numFmtId="166" fontId="21" fillId="2" borderId="5" xfId="1" applyNumberFormat="1" applyFont="1" applyFill="1" applyBorder="1" applyAlignment="1">
      <alignment horizontal="center" wrapText="1"/>
    </xf>
    <xf numFmtId="168" fontId="23" fillId="0" borderId="0" xfId="0" applyNumberFormat="1" applyFont="1" applyAlignment="1">
      <alignment horizontal="center" vertical="top"/>
    </xf>
    <xf numFmtId="0" fontId="21" fillId="0" borderId="2" xfId="1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/>
    </xf>
    <xf numFmtId="0" fontId="21" fillId="2" borderId="2" xfId="1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0" borderId="3" xfId="0" applyFont="1" applyBorder="1"/>
    <xf numFmtId="0" fontId="21" fillId="2" borderId="3" xfId="0" applyFont="1" applyFill="1" applyBorder="1"/>
    <xf numFmtId="168" fontId="21" fillId="0" borderId="3" xfId="0" applyNumberFormat="1" applyFont="1" applyBorder="1" applyAlignment="1">
      <alignment horizontal="center"/>
    </xf>
    <xf numFmtId="168" fontId="21" fillId="0" borderId="28" xfId="0" applyNumberFormat="1" applyFont="1" applyBorder="1" applyAlignment="1">
      <alignment horizontal="center"/>
    </xf>
    <xf numFmtId="168" fontId="21" fillId="0" borderId="5" xfId="0" applyNumberFormat="1" applyFont="1" applyBorder="1" applyAlignment="1">
      <alignment horizontal="center"/>
    </xf>
    <xf numFmtId="167" fontId="31" fillId="2" borderId="5" xfId="1" applyNumberFormat="1" applyFont="1" applyFill="1" applyBorder="1" applyAlignment="1">
      <alignment horizontal="center" wrapText="1"/>
    </xf>
    <xf numFmtId="168" fontId="21" fillId="2" borderId="2" xfId="0" applyNumberFormat="1" applyFont="1" applyFill="1" applyBorder="1" applyAlignment="1">
      <alignment horizontal="center" vertical="center"/>
    </xf>
    <xf numFmtId="168" fontId="21" fillId="2" borderId="2" xfId="1" applyNumberFormat="1" applyFont="1" applyFill="1" applyBorder="1" applyAlignment="1">
      <alignment horizontal="center"/>
    </xf>
    <xf numFmtId="168" fontId="21" fillId="0" borderId="2" xfId="0" applyNumberFormat="1" applyFont="1" applyBorder="1" applyAlignment="1">
      <alignment horizontal="center" vertical="center"/>
    </xf>
    <xf numFmtId="168" fontId="21" fillId="2" borderId="3" xfId="1" applyNumberFormat="1" applyFont="1" applyFill="1" applyBorder="1" applyAlignment="1">
      <alignment horizontal="center"/>
    </xf>
    <xf numFmtId="168" fontId="21" fillId="2" borderId="3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168" fontId="21" fillId="2" borderId="2" xfId="0" applyNumberFormat="1" applyFont="1" applyFill="1" applyBorder="1" applyAlignment="1">
      <alignment horizontal="center"/>
    </xf>
    <xf numFmtId="168" fontId="21" fillId="0" borderId="3" xfId="1" applyNumberFormat="1" applyFont="1" applyFill="1" applyBorder="1" applyAlignment="1">
      <alignment horizontal="center"/>
    </xf>
    <xf numFmtId="168" fontId="22" fillId="9" borderId="2" xfId="0" applyNumberFormat="1" applyFont="1" applyFill="1" applyBorder="1" applyAlignment="1">
      <alignment horizontal="center"/>
    </xf>
    <xf numFmtId="167" fontId="30" fillId="9" borderId="0" xfId="0" applyNumberFormat="1" applyFont="1" applyFill="1" applyAlignment="1">
      <alignment horizontal="center"/>
    </xf>
    <xf numFmtId="0" fontId="21" fillId="14" borderId="2" xfId="0" applyFont="1" applyFill="1" applyBorder="1"/>
    <xf numFmtId="173" fontId="21" fillId="14" borderId="2" xfId="1" applyNumberFormat="1" applyFont="1" applyFill="1" applyBorder="1" applyAlignment="1">
      <alignment horizontal="center"/>
    </xf>
    <xf numFmtId="165" fontId="21" fillId="14" borderId="2" xfId="1" applyNumberFormat="1" applyFont="1" applyFill="1" applyBorder="1" applyAlignment="1">
      <alignment horizontal="center"/>
    </xf>
    <xf numFmtId="168" fontId="21" fillId="14" borderId="2" xfId="0" applyNumberFormat="1" applyFont="1" applyFill="1" applyBorder="1" applyAlignment="1">
      <alignment horizontal="center"/>
    </xf>
    <xf numFmtId="4" fontId="39" fillId="17" borderId="8" xfId="0" applyNumberFormat="1" applyFont="1" applyFill="1" applyBorder="1" applyAlignment="1">
      <alignment horizontal="center"/>
    </xf>
    <xf numFmtId="0" fontId="21" fillId="17" borderId="0" xfId="0" applyFont="1" applyFill="1"/>
    <xf numFmtId="4" fontId="21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8" xfId="0" applyFont="1" applyBorder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22" fillId="9" borderId="22" xfId="0" applyFont="1" applyFill="1" applyBorder="1" applyAlignment="1">
      <alignment horizontal="center" wrapText="1"/>
    </xf>
    <xf numFmtId="0" fontId="22" fillId="9" borderId="23" xfId="0" applyFont="1" applyFill="1" applyBorder="1" applyAlignment="1">
      <alignment horizontal="center" wrapText="1"/>
    </xf>
    <xf numFmtId="0" fontId="22" fillId="9" borderId="26" xfId="0" applyFont="1" applyFill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23" fillId="0" borderId="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166" fontId="23" fillId="10" borderId="20" xfId="1" applyNumberFormat="1" applyFont="1" applyFill="1" applyBorder="1" applyAlignment="1">
      <alignment horizontal="center" vertical="center" wrapText="1"/>
    </xf>
    <xf numFmtId="166" fontId="23" fillId="10" borderId="0" xfId="1" applyNumberFormat="1" applyFont="1" applyFill="1" applyBorder="1" applyAlignment="1">
      <alignment horizontal="center" vertical="center" wrapText="1"/>
    </xf>
    <xf numFmtId="166" fontId="23" fillId="10" borderId="25" xfId="1" applyNumberFormat="1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166" fontId="23" fillId="10" borderId="21" xfId="1" applyNumberFormat="1" applyFont="1" applyFill="1" applyBorder="1" applyAlignment="1">
      <alignment horizontal="center" vertical="center" wrapText="1"/>
    </xf>
    <xf numFmtId="166" fontId="23" fillId="10" borderId="13" xfId="1" applyNumberFormat="1" applyFont="1" applyFill="1" applyBorder="1" applyAlignment="1">
      <alignment horizontal="center" vertical="center" wrapText="1"/>
    </xf>
    <xf numFmtId="166" fontId="23" fillId="10" borderId="24" xfId="1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51" fillId="11" borderId="2" xfId="0" applyFont="1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0" fontId="51" fillId="2" borderId="0" xfId="0" applyFont="1" applyFill="1" applyAlignment="1">
      <alignment horizontal="left" vertical="top" wrapText="1"/>
    </xf>
    <xf numFmtId="3" fontId="19" fillId="3" borderId="2" xfId="0" applyNumberFormat="1" applyFont="1" applyFill="1" applyBorder="1" applyAlignment="1">
      <alignment horizontal="center"/>
    </xf>
    <xf numFmtId="3" fontId="50" fillId="0" borderId="2" xfId="0" applyNumberFormat="1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23" fillId="16" borderId="3" xfId="0" applyFont="1" applyFill="1" applyBorder="1" applyAlignment="1">
      <alignment horizontal="center"/>
    </xf>
    <xf numFmtId="0" fontId="23" fillId="16" borderId="4" xfId="0" applyFont="1" applyFill="1" applyBorder="1" applyAlignment="1">
      <alignment horizontal="center"/>
    </xf>
    <xf numFmtId="0" fontId="23" fillId="16" borderId="5" xfId="0" applyFont="1" applyFill="1" applyBorder="1" applyAlignment="1">
      <alignment horizontal="center"/>
    </xf>
    <xf numFmtId="0" fontId="23" fillId="16" borderId="14" xfId="0" applyFont="1" applyFill="1" applyBorder="1" applyAlignment="1">
      <alignment horizontal="center" vertical="center"/>
    </xf>
    <xf numFmtId="0" fontId="23" fillId="16" borderId="7" xfId="0" applyFont="1" applyFill="1" applyBorder="1" applyAlignment="1">
      <alignment horizontal="center" vertical="center"/>
    </xf>
    <xf numFmtId="0" fontId="37" fillId="13" borderId="3" xfId="0" applyFont="1" applyFill="1" applyBorder="1" applyAlignment="1">
      <alignment horizontal="center"/>
    </xf>
    <xf numFmtId="0" fontId="37" fillId="13" borderId="4" xfId="0" applyFont="1" applyFill="1" applyBorder="1" applyAlignment="1">
      <alignment horizontal="center"/>
    </xf>
    <xf numFmtId="0" fontId="37" fillId="13" borderId="5" xfId="0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/>
    </xf>
    <xf numFmtId="0" fontId="29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170" fontId="46" fillId="15" borderId="15" xfId="0" applyNumberFormat="1" applyFont="1" applyFill="1" applyBorder="1" applyAlignment="1">
      <alignment horizontal="center" vertical="center"/>
    </xf>
    <xf numFmtId="0" fontId="46" fillId="15" borderId="16" xfId="0" applyFont="1" applyFill="1" applyBorder="1" applyAlignment="1">
      <alignment horizontal="center" vertical="center"/>
    </xf>
    <xf numFmtId="0" fontId="46" fillId="15" borderId="17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Badge">
  <a:themeElements>
    <a:clrScheme name="Badge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Badge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V80"/>
  <sheetViews>
    <sheetView topLeftCell="L5" zoomScaleNormal="100" workbookViewId="0">
      <selection activeCell="S4" sqref="S4"/>
    </sheetView>
  </sheetViews>
  <sheetFormatPr baseColWidth="10" defaultColWidth="11.33203125" defaultRowHeight="18" x14ac:dyDescent="0.35"/>
  <cols>
    <col min="1" max="1" width="4.44140625" style="42" customWidth="1"/>
    <col min="2" max="2" width="29.77734375" style="43" customWidth="1"/>
    <col min="3" max="3" width="23.44140625" style="42" customWidth="1"/>
    <col min="4" max="5" width="30.6640625" style="42" customWidth="1"/>
    <col min="6" max="6" width="6.44140625" style="42" customWidth="1"/>
    <col min="7" max="7" width="31.77734375" style="43" customWidth="1"/>
    <col min="8" max="8" width="22.77734375" style="42" customWidth="1"/>
    <col min="9" max="9" width="22.44140625" style="42" customWidth="1"/>
    <col min="10" max="10" width="20.77734375" style="89" customWidth="1"/>
    <col min="11" max="11" width="19.21875" style="42" customWidth="1"/>
    <col min="12" max="12" width="23.44140625" style="42" customWidth="1"/>
    <col min="13" max="13" width="19.21875" style="42" customWidth="1"/>
    <col min="14" max="14" width="23.21875" style="42" customWidth="1"/>
    <col min="15" max="15" width="27.21875" style="42" customWidth="1"/>
    <col min="16" max="16" width="20" style="42" customWidth="1"/>
    <col min="17" max="17" width="22.6640625" style="42" customWidth="1"/>
    <col min="18" max="18" width="23" style="42" customWidth="1"/>
    <col min="19" max="19" width="24" style="42" customWidth="1"/>
    <col min="20" max="20" width="30.6640625" style="42" customWidth="1"/>
    <col min="21" max="21" width="11" style="42" customWidth="1"/>
    <col min="22" max="24" width="11.33203125" style="42"/>
    <col min="25" max="25" width="10" style="42" customWidth="1"/>
    <col min="26" max="16384" width="11.33203125" style="42"/>
  </cols>
  <sheetData>
    <row r="1" spans="1:22" ht="49.5" customHeight="1" thickBot="1" x14ac:dyDescent="0.4">
      <c r="A1" s="327" t="s">
        <v>354</v>
      </c>
      <c r="B1" s="327"/>
      <c r="C1" s="327"/>
      <c r="D1" s="327"/>
      <c r="E1" s="142"/>
      <c r="F1" s="325" t="s">
        <v>355</v>
      </c>
      <c r="G1" s="325"/>
      <c r="H1" s="325"/>
      <c r="I1" s="325"/>
      <c r="J1" s="325"/>
      <c r="K1" s="325"/>
      <c r="L1" s="132"/>
      <c r="M1" s="132"/>
      <c r="N1" s="328" t="s">
        <v>357</v>
      </c>
      <c r="O1" s="328"/>
      <c r="P1" s="328"/>
      <c r="Q1" s="328"/>
      <c r="R1" s="328"/>
      <c r="S1" s="63"/>
      <c r="T1" s="63"/>
      <c r="U1" s="63"/>
      <c r="V1" s="63"/>
    </row>
    <row r="2" spans="1:22" ht="25.5" customHeight="1" x14ac:dyDescent="0.35">
      <c r="A2" s="67" t="s">
        <v>2</v>
      </c>
      <c r="B2" s="69" t="s">
        <v>27</v>
      </c>
      <c r="C2" s="68" t="s">
        <v>0</v>
      </c>
      <c r="D2" s="67" t="s">
        <v>28</v>
      </c>
      <c r="E2" s="142"/>
      <c r="F2" s="75" t="s">
        <v>2</v>
      </c>
      <c r="G2" s="153" t="s">
        <v>109</v>
      </c>
      <c r="H2" s="148" t="s">
        <v>110</v>
      </c>
      <c r="I2" s="148" t="s">
        <v>111</v>
      </c>
      <c r="J2" s="149" t="s">
        <v>112</v>
      </c>
      <c r="K2" s="148" t="s">
        <v>113</v>
      </c>
      <c r="L2" s="132"/>
      <c r="N2" s="84" t="s">
        <v>109</v>
      </c>
      <c r="O2" s="84" t="s">
        <v>145</v>
      </c>
      <c r="P2" s="84" t="s">
        <v>111</v>
      </c>
      <c r="Q2" s="85" t="s">
        <v>112</v>
      </c>
      <c r="R2" s="84" t="s">
        <v>113</v>
      </c>
    </row>
    <row r="3" spans="1:22" ht="32.25" customHeight="1" thickBot="1" x14ac:dyDescent="0.4">
      <c r="A3" s="62">
        <v>1</v>
      </c>
      <c r="B3" s="49" t="s">
        <v>375</v>
      </c>
      <c r="C3" s="34">
        <v>10500</v>
      </c>
      <c r="D3" s="31" t="s">
        <v>423</v>
      </c>
      <c r="F3" s="31">
        <v>1</v>
      </c>
      <c r="G3" s="50" t="s">
        <v>310</v>
      </c>
      <c r="H3" s="29">
        <v>7</v>
      </c>
      <c r="I3" s="31">
        <v>500</v>
      </c>
      <c r="J3" s="32">
        <f t="shared" ref="J3" si="0">PRODUCT(H3:I3)</f>
        <v>3500</v>
      </c>
      <c r="K3" s="29" t="s">
        <v>306</v>
      </c>
      <c r="L3" s="64"/>
      <c r="M3" s="64"/>
      <c r="N3" s="31" t="s">
        <v>148</v>
      </c>
      <c r="O3" s="30">
        <v>1466</v>
      </c>
      <c r="P3" s="82">
        <v>55</v>
      </c>
      <c r="Q3" s="82">
        <f>PRODUCT(O3:P3)</f>
        <v>80630</v>
      </c>
      <c r="R3" s="20" t="s">
        <v>149</v>
      </c>
    </row>
    <row r="4" spans="1:22" ht="34.5" customHeight="1" thickBot="1" x14ac:dyDescent="0.4">
      <c r="A4" s="62">
        <v>2</v>
      </c>
      <c r="B4" s="39" t="s">
        <v>300</v>
      </c>
      <c r="C4" s="272">
        <v>22300</v>
      </c>
      <c r="D4" s="34" t="s">
        <v>328</v>
      </c>
      <c r="F4" s="31">
        <v>2</v>
      </c>
      <c r="G4" s="50" t="s">
        <v>474</v>
      </c>
      <c r="H4" s="29">
        <v>6</v>
      </c>
      <c r="I4" s="31">
        <v>500</v>
      </c>
      <c r="J4" s="32">
        <f t="shared" ref="J4:J11" si="1">PRODUCT(H4:I4)</f>
        <v>3000</v>
      </c>
      <c r="K4" s="34" t="s">
        <v>335</v>
      </c>
      <c r="M4" s="65"/>
      <c r="O4" s="155">
        <f>SUM(O3:O3)</f>
        <v>1466</v>
      </c>
      <c r="P4" s="86"/>
      <c r="Q4" s="87">
        <f>SUM(Q3:Q3)</f>
        <v>80630</v>
      </c>
    </row>
    <row r="5" spans="1:22" ht="33.75" customHeight="1" x14ac:dyDescent="0.35">
      <c r="A5" s="62">
        <v>3</v>
      </c>
      <c r="B5" s="40" t="s">
        <v>154</v>
      </c>
      <c r="C5" s="31">
        <v>18000</v>
      </c>
      <c r="D5" s="282" t="s">
        <v>35</v>
      </c>
      <c r="F5" s="31">
        <v>3</v>
      </c>
      <c r="G5" s="50" t="s">
        <v>74</v>
      </c>
      <c r="H5" s="29">
        <v>9</v>
      </c>
      <c r="I5" s="31">
        <v>500</v>
      </c>
      <c r="J5" s="32">
        <f t="shared" si="1"/>
        <v>4500</v>
      </c>
      <c r="K5" s="34" t="s">
        <v>5</v>
      </c>
      <c r="L5" s="63"/>
      <c r="M5" s="65"/>
    </row>
    <row r="6" spans="1:22" ht="30" customHeight="1" x14ac:dyDescent="0.35">
      <c r="A6" s="62">
        <v>4</v>
      </c>
      <c r="B6" s="49" t="s">
        <v>292</v>
      </c>
      <c r="C6" s="31">
        <v>33000</v>
      </c>
      <c r="D6" s="30" t="s">
        <v>293</v>
      </c>
      <c r="F6" s="31">
        <v>4</v>
      </c>
      <c r="G6" s="50" t="s">
        <v>223</v>
      </c>
      <c r="H6" s="29">
        <v>7</v>
      </c>
      <c r="I6" s="31">
        <v>500</v>
      </c>
      <c r="J6" s="32">
        <f t="shared" si="1"/>
        <v>3500</v>
      </c>
      <c r="K6" s="34" t="s">
        <v>225</v>
      </c>
      <c r="L6" s="64"/>
    </row>
    <row r="7" spans="1:22" ht="33.75" customHeight="1" x14ac:dyDescent="0.35">
      <c r="A7" s="62">
        <v>5</v>
      </c>
      <c r="B7" s="39" t="s">
        <v>256</v>
      </c>
      <c r="C7" s="30">
        <v>16400</v>
      </c>
      <c r="D7" s="281" t="s">
        <v>72</v>
      </c>
      <c r="F7" s="31">
        <v>5</v>
      </c>
      <c r="G7" s="50" t="s">
        <v>70</v>
      </c>
      <c r="H7" s="29">
        <v>9</v>
      </c>
      <c r="I7" s="31">
        <v>500</v>
      </c>
      <c r="J7" s="32">
        <f t="shared" si="1"/>
        <v>4500</v>
      </c>
      <c r="K7" s="34" t="s">
        <v>336</v>
      </c>
      <c r="L7" s="64"/>
      <c r="O7" s="325" t="s">
        <v>356</v>
      </c>
      <c r="P7" s="325"/>
      <c r="Q7" s="325"/>
      <c r="R7" s="325"/>
      <c r="S7" s="325"/>
    </row>
    <row r="8" spans="1:22" ht="33.75" customHeight="1" x14ac:dyDescent="0.35">
      <c r="A8" s="62">
        <v>6</v>
      </c>
      <c r="B8" s="40" t="s">
        <v>71</v>
      </c>
      <c r="C8" s="31">
        <v>18000</v>
      </c>
      <c r="D8" s="280" t="s">
        <v>22</v>
      </c>
      <c r="F8" s="31">
        <v>6</v>
      </c>
      <c r="G8" s="50" t="s">
        <v>224</v>
      </c>
      <c r="H8" s="29">
        <v>5</v>
      </c>
      <c r="I8" s="31">
        <v>500</v>
      </c>
      <c r="J8" s="32">
        <f t="shared" si="1"/>
        <v>2500</v>
      </c>
      <c r="K8" s="34" t="s">
        <v>226</v>
      </c>
      <c r="L8" s="65"/>
      <c r="O8" s="153" t="s">
        <v>109</v>
      </c>
      <c r="P8" s="148" t="s">
        <v>110</v>
      </c>
      <c r="Q8" s="148" t="s">
        <v>111</v>
      </c>
      <c r="R8" s="149" t="s">
        <v>112</v>
      </c>
      <c r="S8" s="148" t="s">
        <v>113</v>
      </c>
    </row>
    <row r="9" spans="1:22" ht="33.75" customHeight="1" x14ac:dyDescent="0.35">
      <c r="A9" s="62">
        <v>7</v>
      </c>
      <c r="B9" s="39" t="s">
        <v>219</v>
      </c>
      <c r="C9" s="34">
        <v>22400</v>
      </c>
      <c r="D9" s="280" t="s">
        <v>231</v>
      </c>
      <c r="F9" s="31">
        <v>7</v>
      </c>
      <c r="G9" s="50" t="s">
        <v>203</v>
      </c>
      <c r="H9" s="29">
        <v>6</v>
      </c>
      <c r="I9" s="31">
        <v>500</v>
      </c>
      <c r="J9" s="32">
        <f t="shared" si="1"/>
        <v>3000</v>
      </c>
      <c r="K9" s="34" t="s">
        <v>334</v>
      </c>
      <c r="M9" s="65"/>
      <c r="O9" s="49" t="s">
        <v>204</v>
      </c>
      <c r="P9" s="31">
        <v>2</v>
      </c>
      <c r="Q9" s="31">
        <v>750</v>
      </c>
      <c r="R9" s="31">
        <f t="shared" ref="R9" si="2">PRODUCT(P9:Q9)</f>
        <v>1500</v>
      </c>
      <c r="S9" s="31" t="s">
        <v>205</v>
      </c>
    </row>
    <row r="10" spans="1:22" ht="33.75" customHeight="1" x14ac:dyDescent="0.35">
      <c r="A10" s="62">
        <v>8</v>
      </c>
      <c r="B10" s="39" t="s">
        <v>164</v>
      </c>
      <c r="C10" s="31">
        <v>19500</v>
      </c>
      <c r="D10" s="280" t="s">
        <v>165</v>
      </c>
      <c r="F10" s="31">
        <v>8</v>
      </c>
      <c r="G10" s="39" t="s">
        <v>69</v>
      </c>
      <c r="H10" s="29">
        <v>6</v>
      </c>
      <c r="I10" s="31">
        <v>500</v>
      </c>
      <c r="J10" s="32">
        <f t="shared" si="1"/>
        <v>3000</v>
      </c>
      <c r="K10" s="34" t="s">
        <v>4</v>
      </c>
      <c r="M10" s="64"/>
      <c r="O10" s="49" t="s">
        <v>68</v>
      </c>
      <c r="P10" s="31">
        <v>1</v>
      </c>
      <c r="Q10" s="31">
        <v>750</v>
      </c>
      <c r="R10" s="31">
        <f t="shared" ref="R10:R34" si="3">PRODUCT(P10:Q10)</f>
        <v>750</v>
      </c>
      <c r="S10" s="33" t="s">
        <v>10</v>
      </c>
    </row>
    <row r="11" spans="1:22" ht="32.25" customHeight="1" x14ac:dyDescent="0.35">
      <c r="A11" s="62">
        <v>9</v>
      </c>
      <c r="B11" s="39" t="s">
        <v>464</v>
      </c>
      <c r="C11" s="31">
        <v>18000</v>
      </c>
      <c r="D11" s="280" t="s">
        <v>468</v>
      </c>
      <c r="F11" s="31">
        <v>9</v>
      </c>
      <c r="G11" s="50" t="s">
        <v>254</v>
      </c>
      <c r="H11" s="29">
        <v>6</v>
      </c>
      <c r="I11" s="31">
        <v>500</v>
      </c>
      <c r="J11" s="32">
        <f t="shared" si="1"/>
        <v>3000</v>
      </c>
      <c r="K11" s="34" t="s">
        <v>283</v>
      </c>
      <c r="L11" s="130"/>
      <c r="O11" s="49" t="s">
        <v>262</v>
      </c>
      <c r="P11" s="31">
        <v>1</v>
      </c>
      <c r="Q11" s="31">
        <v>750</v>
      </c>
      <c r="R11" s="31">
        <f t="shared" si="3"/>
        <v>750</v>
      </c>
      <c r="S11" s="34" t="s">
        <v>156</v>
      </c>
    </row>
    <row r="12" spans="1:22" ht="32.25" customHeight="1" x14ac:dyDescent="0.35">
      <c r="A12" s="62">
        <v>10</v>
      </c>
      <c r="B12" s="39" t="s">
        <v>76</v>
      </c>
      <c r="C12" s="31">
        <v>9000</v>
      </c>
      <c r="D12" s="44" t="s">
        <v>11</v>
      </c>
      <c r="H12" s="211">
        <f>SUM(H3:H11)</f>
        <v>61</v>
      </c>
      <c r="J12" s="283">
        <f>SUM(J3:J11)</f>
        <v>30500</v>
      </c>
      <c r="L12" s="65"/>
      <c r="O12" s="49" t="s">
        <v>269</v>
      </c>
      <c r="P12" s="31">
        <v>1</v>
      </c>
      <c r="Q12" s="31">
        <v>750</v>
      </c>
      <c r="R12" s="31">
        <f t="shared" si="3"/>
        <v>750</v>
      </c>
      <c r="S12" s="34" t="s">
        <v>284</v>
      </c>
    </row>
    <row r="13" spans="1:22" ht="33.75" customHeight="1" x14ac:dyDescent="0.5">
      <c r="A13" s="62">
        <v>11</v>
      </c>
      <c r="B13" s="49" t="s">
        <v>465</v>
      </c>
      <c r="C13" s="31">
        <v>18000</v>
      </c>
      <c r="D13" s="280" t="s">
        <v>469</v>
      </c>
      <c r="I13" s="66"/>
      <c r="M13" s="65"/>
      <c r="O13" s="49" t="s">
        <v>446</v>
      </c>
      <c r="P13" s="31">
        <v>2</v>
      </c>
      <c r="Q13" s="31">
        <v>750</v>
      </c>
      <c r="R13" s="31">
        <f t="shared" si="3"/>
        <v>1500</v>
      </c>
      <c r="S13" s="31" t="s">
        <v>157</v>
      </c>
    </row>
    <row r="14" spans="1:22" ht="36" customHeight="1" x14ac:dyDescent="0.5">
      <c r="A14" s="62">
        <v>12</v>
      </c>
      <c r="B14" s="39" t="s">
        <v>88</v>
      </c>
      <c r="C14" s="31">
        <v>25700</v>
      </c>
      <c r="D14" s="34" t="s">
        <v>202</v>
      </c>
      <c r="I14" s="66"/>
      <c r="L14" s="65"/>
      <c r="M14" s="65"/>
      <c r="O14" s="49" t="s">
        <v>92</v>
      </c>
      <c r="P14" s="31">
        <v>3</v>
      </c>
      <c r="Q14" s="31">
        <v>750</v>
      </c>
      <c r="R14" s="31">
        <f t="shared" si="3"/>
        <v>2250</v>
      </c>
      <c r="S14" s="31" t="s">
        <v>97</v>
      </c>
    </row>
    <row r="15" spans="1:22" ht="33" customHeight="1" x14ac:dyDescent="0.5">
      <c r="C15" s="211">
        <f>SUM(C3:C14)</f>
        <v>230800</v>
      </c>
      <c r="H15" s="42" t="s">
        <v>434</v>
      </c>
      <c r="I15" s="66">
        <v>14.26</v>
      </c>
      <c r="J15" s="66">
        <f t="shared" ref="J15:J16" si="4">PRODUCT(I15*6.75)</f>
        <v>96.254999999999995</v>
      </c>
      <c r="L15" s="65"/>
      <c r="O15" s="49" t="s">
        <v>451</v>
      </c>
      <c r="P15" s="31">
        <v>2</v>
      </c>
      <c r="Q15" s="31">
        <v>750</v>
      </c>
      <c r="R15" s="31">
        <f t="shared" si="3"/>
        <v>1500</v>
      </c>
      <c r="S15" s="31" t="s">
        <v>94</v>
      </c>
    </row>
    <row r="16" spans="1:22" ht="30.75" customHeight="1" x14ac:dyDescent="0.5">
      <c r="I16" s="66"/>
      <c r="J16" s="66">
        <f t="shared" si="4"/>
        <v>0</v>
      </c>
      <c r="L16" s="65"/>
      <c r="O16" s="49" t="s">
        <v>387</v>
      </c>
      <c r="P16" s="31">
        <v>1</v>
      </c>
      <c r="Q16" s="31">
        <v>750</v>
      </c>
      <c r="R16" s="31">
        <f t="shared" si="3"/>
        <v>750</v>
      </c>
      <c r="S16" s="31" t="s">
        <v>415</v>
      </c>
    </row>
    <row r="17" spans="5:19" ht="26.25" customHeight="1" x14ac:dyDescent="0.5">
      <c r="G17" s="42"/>
      <c r="I17" s="66"/>
      <c r="J17" s="66">
        <f>I17*6.75</f>
        <v>0</v>
      </c>
      <c r="L17" s="64"/>
      <c r="O17" s="49" t="s">
        <v>452</v>
      </c>
      <c r="P17" s="31">
        <v>1</v>
      </c>
      <c r="Q17" s="31">
        <v>750</v>
      </c>
      <c r="R17" s="31">
        <f t="shared" si="3"/>
        <v>750</v>
      </c>
      <c r="S17" s="34" t="s">
        <v>454</v>
      </c>
    </row>
    <row r="18" spans="5:19" ht="24" customHeight="1" x14ac:dyDescent="0.5">
      <c r="G18" s="42"/>
      <c r="I18" s="66"/>
      <c r="J18" s="66">
        <f>I18*6.75</f>
        <v>0</v>
      </c>
      <c r="L18" s="64"/>
      <c r="O18" s="49" t="s">
        <v>388</v>
      </c>
      <c r="P18" s="31">
        <v>3</v>
      </c>
      <c r="Q18" s="31">
        <v>750</v>
      </c>
      <c r="R18" s="31">
        <f t="shared" si="3"/>
        <v>2250</v>
      </c>
      <c r="S18" s="31" t="s">
        <v>417</v>
      </c>
    </row>
    <row r="19" spans="5:19" ht="24" customHeight="1" x14ac:dyDescent="0.35">
      <c r="G19" s="42"/>
      <c r="L19" s="64"/>
      <c r="O19" s="49" t="s">
        <v>448</v>
      </c>
      <c r="P19" s="31">
        <v>2</v>
      </c>
      <c r="Q19" s="31">
        <v>750</v>
      </c>
      <c r="R19" s="31">
        <f t="shared" si="3"/>
        <v>1500</v>
      </c>
      <c r="S19" s="31" t="s">
        <v>95</v>
      </c>
    </row>
    <row r="20" spans="5:19" ht="24.9" customHeight="1" x14ac:dyDescent="0.35">
      <c r="E20" s="89">
        <f>SUM(C15,J12,Q4,R35,R48,R57,R70,R80)</f>
        <v>477440</v>
      </c>
      <c r="G20" s="42"/>
      <c r="L20" s="65"/>
      <c r="O20" s="49" t="s">
        <v>453</v>
      </c>
      <c r="P20" s="31">
        <v>1</v>
      </c>
      <c r="Q20" s="31">
        <v>750</v>
      </c>
      <c r="R20" s="31">
        <f t="shared" si="3"/>
        <v>750</v>
      </c>
      <c r="S20" s="27" t="s">
        <v>455</v>
      </c>
    </row>
    <row r="21" spans="5:19" ht="24.6" customHeight="1" x14ac:dyDescent="0.35">
      <c r="G21" s="42"/>
      <c r="L21" s="65"/>
      <c r="O21" s="49" t="s">
        <v>474</v>
      </c>
      <c r="P21" s="31">
        <v>2</v>
      </c>
      <c r="Q21" s="31">
        <v>750</v>
      </c>
      <c r="R21" s="31">
        <f t="shared" si="3"/>
        <v>1500</v>
      </c>
      <c r="S21" s="34" t="s">
        <v>335</v>
      </c>
    </row>
    <row r="22" spans="5:19" ht="24.6" customHeight="1" x14ac:dyDescent="0.35">
      <c r="G22" s="42"/>
      <c r="L22" s="65"/>
      <c r="O22" s="49" t="s">
        <v>308</v>
      </c>
      <c r="P22" s="31">
        <v>5</v>
      </c>
      <c r="Q22" s="31">
        <v>750</v>
      </c>
      <c r="R22" s="31">
        <f t="shared" si="3"/>
        <v>3750</v>
      </c>
      <c r="S22" s="29" t="s">
        <v>306</v>
      </c>
    </row>
    <row r="23" spans="5:19" ht="24.6" customHeight="1" x14ac:dyDescent="0.35">
      <c r="G23" s="42"/>
      <c r="L23" s="65"/>
      <c r="O23" s="49" t="s">
        <v>74</v>
      </c>
      <c r="P23" s="31">
        <v>5</v>
      </c>
      <c r="Q23" s="31">
        <v>750</v>
      </c>
      <c r="R23" s="31">
        <f t="shared" si="3"/>
        <v>3750</v>
      </c>
      <c r="S23" s="34" t="s">
        <v>5</v>
      </c>
    </row>
    <row r="24" spans="5:19" ht="24.6" customHeight="1" x14ac:dyDescent="0.35">
      <c r="G24" s="42"/>
      <c r="L24" s="65"/>
      <c r="O24" s="49" t="s">
        <v>385</v>
      </c>
      <c r="P24" s="31">
        <v>3</v>
      </c>
      <c r="Q24" s="31">
        <v>750</v>
      </c>
      <c r="R24" s="31">
        <f t="shared" si="3"/>
        <v>2250</v>
      </c>
      <c r="S24" s="31" t="s">
        <v>414</v>
      </c>
    </row>
    <row r="25" spans="5:19" ht="24.6" customHeight="1" x14ac:dyDescent="0.35">
      <c r="G25" s="42"/>
      <c r="L25" s="65"/>
      <c r="O25" s="49" t="s">
        <v>223</v>
      </c>
      <c r="P25" s="31">
        <v>3</v>
      </c>
      <c r="Q25" s="31">
        <v>750</v>
      </c>
      <c r="R25" s="31">
        <f t="shared" si="3"/>
        <v>2250</v>
      </c>
      <c r="S25" s="34" t="s">
        <v>225</v>
      </c>
    </row>
    <row r="26" spans="5:19" ht="23.4" customHeight="1" x14ac:dyDescent="0.35">
      <c r="G26" s="42"/>
      <c r="L26" s="65"/>
      <c r="O26" s="49" t="s">
        <v>70</v>
      </c>
      <c r="P26" s="31">
        <v>4</v>
      </c>
      <c r="Q26" s="31">
        <v>750</v>
      </c>
      <c r="R26" s="31">
        <f t="shared" si="3"/>
        <v>3000</v>
      </c>
      <c r="S26" s="34" t="s">
        <v>336</v>
      </c>
    </row>
    <row r="27" spans="5:19" ht="33" customHeight="1" x14ac:dyDescent="0.35">
      <c r="G27" s="42"/>
      <c r="L27" s="65"/>
      <c r="O27" s="49" t="s">
        <v>268</v>
      </c>
      <c r="P27" s="31">
        <v>4</v>
      </c>
      <c r="Q27" s="31">
        <v>750</v>
      </c>
      <c r="R27" s="31">
        <f t="shared" si="3"/>
        <v>3000</v>
      </c>
      <c r="S27" s="34" t="s">
        <v>226</v>
      </c>
    </row>
    <row r="28" spans="5:19" ht="27.6" customHeight="1" x14ac:dyDescent="0.35">
      <c r="G28" s="42"/>
      <c r="L28" s="65"/>
      <c r="O28" s="49" t="s">
        <v>203</v>
      </c>
      <c r="P28" s="31">
        <v>5</v>
      </c>
      <c r="Q28" s="31">
        <v>750</v>
      </c>
      <c r="R28" s="31">
        <f t="shared" si="3"/>
        <v>3750</v>
      </c>
      <c r="S28" s="34" t="s">
        <v>334</v>
      </c>
    </row>
    <row r="29" spans="5:19" ht="26.4" customHeight="1" x14ac:dyDescent="0.35">
      <c r="G29" s="42"/>
      <c r="L29" s="65"/>
      <c r="O29" s="49" t="s">
        <v>450</v>
      </c>
      <c r="P29" s="31">
        <v>1</v>
      </c>
      <c r="Q29" s="31">
        <v>750</v>
      </c>
      <c r="R29" s="31">
        <f t="shared" si="3"/>
        <v>750</v>
      </c>
      <c r="S29" s="34" t="s">
        <v>481</v>
      </c>
    </row>
    <row r="30" spans="5:19" ht="25.5" customHeight="1" x14ac:dyDescent="0.35">
      <c r="G30" s="42"/>
      <c r="L30" s="64"/>
      <c r="O30" s="49" t="s">
        <v>69</v>
      </c>
      <c r="P30" s="31">
        <v>4</v>
      </c>
      <c r="Q30" s="31">
        <v>750</v>
      </c>
      <c r="R30" s="31">
        <f t="shared" si="3"/>
        <v>3000</v>
      </c>
      <c r="S30" s="34" t="s">
        <v>4</v>
      </c>
    </row>
    <row r="31" spans="5:19" ht="19.2" x14ac:dyDescent="0.35">
      <c r="G31" s="42"/>
      <c r="L31" s="26"/>
      <c r="O31" s="49" t="s">
        <v>445</v>
      </c>
      <c r="P31" s="31">
        <v>1</v>
      </c>
      <c r="Q31" s="31">
        <v>750</v>
      </c>
      <c r="R31" s="31">
        <f t="shared" si="3"/>
        <v>750</v>
      </c>
      <c r="S31" s="31" t="s">
        <v>255</v>
      </c>
    </row>
    <row r="32" spans="5:19" x14ac:dyDescent="0.35">
      <c r="G32" s="42"/>
      <c r="L32" s="64"/>
      <c r="O32" s="49" t="s">
        <v>91</v>
      </c>
      <c r="P32" s="31">
        <v>2</v>
      </c>
      <c r="Q32" s="31">
        <v>750</v>
      </c>
      <c r="R32" s="31">
        <f t="shared" si="3"/>
        <v>1500</v>
      </c>
      <c r="S32" s="31" t="s">
        <v>96</v>
      </c>
    </row>
    <row r="33" spans="7:19" x14ac:dyDescent="0.35">
      <c r="G33" s="42"/>
      <c r="L33" s="65"/>
      <c r="O33" s="49" t="s">
        <v>389</v>
      </c>
      <c r="P33" s="31">
        <v>3</v>
      </c>
      <c r="Q33" s="31">
        <v>750</v>
      </c>
      <c r="R33" s="31">
        <f t="shared" si="3"/>
        <v>2250</v>
      </c>
      <c r="S33" s="31" t="s">
        <v>416</v>
      </c>
    </row>
    <row r="34" spans="7:19" x14ac:dyDescent="0.35">
      <c r="G34" s="42"/>
      <c r="L34" s="64"/>
      <c r="O34" s="49" t="s">
        <v>228</v>
      </c>
      <c r="P34" s="31">
        <v>3</v>
      </c>
      <c r="Q34" s="31">
        <v>750</v>
      </c>
      <c r="R34" s="31">
        <f t="shared" si="3"/>
        <v>2250</v>
      </c>
      <c r="S34" s="34" t="s">
        <v>283</v>
      </c>
    </row>
    <row r="35" spans="7:19" x14ac:dyDescent="0.35">
      <c r="G35" s="42"/>
      <c r="L35" s="65"/>
      <c r="P35" s="211">
        <f>SUM(P9:P34)</f>
        <v>65</v>
      </c>
      <c r="Q35" s="211"/>
      <c r="R35" s="211">
        <f>SUM(R9:R34)</f>
        <v>48750</v>
      </c>
    </row>
    <row r="36" spans="7:19" x14ac:dyDescent="0.35">
      <c r="G36" s="42"/>
    </row>
    <row r="37" spans="7:19" x14ac:dyDescent="0.35">
      <c r="G37" s="42"/>
      <c r="L37" s="65"/>
    </row>
    <row r="38" spans="7:19" ht="24" customHeight="1" x14ac:dyDescent="0.35">
      <c r="G38" s="42"/>
      <c r="H38" s="150"/>
    </row>
    <row r="39" spans="7:19" ht="23.25" customHeight="1" x14ac:dyDescent="0.35">
      <c r="H39" s="150"/>
    </row>
    <row r="40" spans="7:19" x14ac:dyDescent="0.35">
      <c r="O40" s="325" t="s">
        <v>435</v>
      </c>
      <c r="P40" s="325"/>
      <c r="Q40" s="325"/>
      <c r="R40" s="325"/>
      <c r="S40" s="325"/>
    </row>
    <row r="41" spans="7:19" x14ac:dyDescent="0.35">
      <c r="O41" s="153" t="s">
        <v>109</v>
      </c>
      <c r="P41" s="148" t="s">
        <v>110</v>
      </c>
      <c r="Q41" s="148" t="s">
        <v>111</v>
      </c>
      <c r="R41" s="149" t="s">
        <v>112</v>
      </c>
      <c r="S41" s="148" t="s">
        <v>113</v>
      </c>
    </row>
    <row r="42" spans="7:19" x14ac:dyDescent="0.35">
      <c r="O42" s="49" t="s">
        <v>269</v>
      </c>
      <c r="P42" s="31">
        <v>137</v>
      </c>
      <c r="Q42" s="31">
        <v>20</v>
      </c>
      <c r="R42" s="273">
        <f t="shared" ref="R42" si="5">PRODUCT(P42:Q42)</f>
        <v>2740</v>
      </c>
      <c r="S42" s="34" t="s">
        <v>284</v>
      </c>
    </row>
    <row r="43" spans="7:19" x14ac:dyDescent="0.35">
      <c r="O43" s="49" t="s">
        <v>438</v>
      </c>
      <c r="P43" s="31">
        <v>312</v>
      </c>
      <c r="Q43" s="31">
        <v>20</v>
      </c>
      <c r="R43" s="273">
        <f>PRODUCT(P43:Q43)</f>
        <v>6240</v>
      </c>
      <c r="S43" s="34" t="s">
        <v>472</v>
      </c>
    </row>
    <row r="44" spans="7:19" x14ac:dyDescent="0.35">
      <c r="O44" s="49" t="s">
        <v>437</v>
      </c>
      <c r="P44" s="31">
        <v>197</v>
      </c>
      <c r="Q44" s="31">
        <v>20</v>
      </c>
      <c r="R44" s="273">
        <f>PRODUCT(P44:Q44)</f>
        <v>3940</v>
      </c>
      <c r="S44" s="31" t="s">
        <v>442</v>
      </c>
    </row>
    <row r="45" spans="7:19" x14ac:dyDescent="0.35">
      <c r="J45" s="42"/>
      <c r="O45" s="49" t="s">
        <v>436</v>
      </c>
      <c r="P45" s="31">
        <v>539</v>
      </c>
      <c r="Q45" s="31">
        <v>20</v>
      </c>
      <c r="R45" s="273">
        <f>PRODUCT(P45:Q45)</f>
        <v>10780</v>
      </c>
      <c r="S45" s="34" t="s">
        <v>441</v>
      </c>
    </row>
    <row r="46" spans="7:19" x14ac:dyDescent="0.35">
      <c r="O46" s="49" t="s">
        <v>439</v>
      </c>
      <c r="P46" s="31">
        <v>297</v>
      </c>
      <c r="Q46" s="31">
        <v>20</v>
      </c>
      <c r="R46" s="273">
        <f>PRODUCT(P46:Q46)</f>
        <v>5940</v>
      </c>
      <c r="S46" s="34" t="s">
        <v>440</v>
      </c>
    </row>
    <row r="47" spans="7:19" x14ac:dyDescent="0.35">
      <c r="O47" s="49" t="s">
        <v>313</v>
      </c>
      <c r="P47" s="31">
        <v>137</v>
      </c>
      <c r="Q47" s="31">
        <v>20</v>
      </c>
      <c r="R47" s="273">
        <f>PRODUCT(P47:Q47)</f>
        <v>2740</v>
      </c>
      <c r="S47" s="33" t="s">
        <v>339</v>
      </c>
    </row>
    <row r="48" spans="7:19" x14ac:dyDescent="0.35">
      <c r="P48" s="211">
        <f>SUM(P42:P47)</f>
        <v>1619</v>
      </c>
      <c r="Q48" s="211"/>
      <c r="R48" s="274">
        <f>SUM(R42:R47)</f>
        <v>32380</v>
      </c>
    </row>
    <row r="50" spans="2:19" x14ac:dyDescent="0.35">
      <c r="B50" s="42"/>
    </row>
    <row r="51" spans="2:19" x14ac:dyDescent="0.35">
      <c r="O51" s="325" t="s">
        <v>443</v>
      </c>
      <c r="P51" s="325"/>
      <c r="Q51" s="325"/>
      <c r="R51" s="325"/>
      <c r="S51" s="325"/>
    </row>
    <row r="52" spans="2:19" x14ac:dyDescent="0.35">
      <c r="O52" s="153" t="s">
        <v>109</v>
      </c>
      <c r="P52" s="148" t="s">
        <v>110</v>
      </c>
      <c r="Q52" s="148" t="s">
        <v>111</v>
      </c>
      <c r="R52" s="149" t="s">
        <v>112</v>
      </c>
      <c r="S52" s="148" t="s">
        <v>113</v>
      </c>
    </row>
    <row r="53" spans="2:19" x14ac:dyDescent="0.35">
      <c r="O53" s="49" t="s">
        <v>269</v>
      </c>
      <c r="P53" s="31">
        <v>86</v>
      </c>
      <c r="Q53" s="31">
        <v>20</v>
      </c>
      <c r="R53" s="31">
        <f t="shared" ref="R53:R56" si="6">PRODUCT(P53:Q53)</f>
        <v>1720</v>
      </c>
      <c r="S53" s="34" t="s">
        <v>284</v>
      </c>
    </row>
    <row r="54" spans="2:19" x14ac:dyDescent="0.35">
      <c r="O54" s="49" t="s">
        <v>436</v>
      </c>
      <c r="P54" s="31">
        <v>86</v>
      </c>
      <c r="Q54" s="31">
        <v>20</v>
      </c>
      <c r="R54" s="31">
        <f t="shared" si="6"/>
        <v>1720</v>
      </c>
      <c r="S54" s="34" t="s">
        <v>441</v>
      </c>
    </row>
    <row r="55" spans="2:19" x14ac:dyDescent="0.35">
      <c r="O55" s="49" t="s">
        <v>439</v>
      </c>
      <c r="P55" s="31">
        <v>86</v>
      </c>
      <c r="Q55" s="31">
        <v>20</v>
      </c>
      <c r="R55" s="31">
        <f t="shared" si="6"/>
        <v>1720</v>
      </c>
      <c r="S55" s="34" t="s">
        <v>440</v>
      </c>
    </row>
    <row r="56" spans="2:19" x14ac:dyDescent="0.35">
      <c r="O56" s="49" t="s">
        <v>313</v>
      </c>
      <c r="P56" s="31">
        <v>86</v>
      </c>
      <c r="Q56" s="31">
        <v>20</v>
      </c>
      <c r="R56" s="31">
        <f t="shared" si="6"/>
        <v>1720</v>
      </c>
      <c r="S56" s="33" t="s">
        <v>339</v>
      </c>
    </row>
    <row r="57" spans="2:19" x14ac:dyDescent="0.35">
      <c r="P57" s="211">
        <f>SUM(P53:P56)</f>
        <v>344</v>
      </c>
      <c r="Q57" s="211"/>
      <c r="R57" s="211">
        <f>SUM(R53:R56)</f>
        <v>6880</v>
      </c>
    </row>
    <row r="59" spans="2:19" x14ac:dyDescent="0.35">
      <c r="S59" s="42" t="s">
        <v>121</v>
      </c>
    </row>
    <row r="60" spans="2:19" x14ac:dyDescent="0.35">
      <c r="L60" s="49" t="s">
        <v>261</v>
      </c>
      <c r="M60" s="261" t="s">
        <v>433</v>
      </c>
      <c r="O60" s="325" t="s">
        <v>473</v>
      </c>
      <c r="P60" s="325"/>
      <c r="Q60" s="325"/>
      <c r="R60" s="325"/>
      <c r="S60" s="325"/>
    </row>
    <row r="61" spans="2:19" x14ac:dyDescent="0.35">
      <c r="O61" s="153" t="s">
        <v>109</v>
      </c>
      <c r="P61" s="148" t="s">
        <v>110</v>
      </c>
      <c r="Q61" s="148" t="s">
        <v>111</v>
      </c>
      <c r="R61" s="149" t="s">
        <v>112</v>
      </c>
      <c r="S61" s="148" t="s">
        <v>113</v>
      </c>
    </row>
    <row r="62" spans="2:19" x14ac:dyDescent="0.35">
      <c r="O62" s="49" t="s">
        <v>269</v>
      </c>
      <c r="P62" s="31">
        <v>4</v>
      </c>
      <c r="Q62" s="31">
        <v>1250</v>
      </c>
      <c r="R62" s="273">
        <f t="shared" ref="R62:R69" si="7">PRODUCT(P62:Q62)</f>
        <v>5000</v>
      </c>
      <c r="S62" s="34" t="s">
        <v>284</v>
      </c>
    </row>
    <row r="63" spans="2:19" x14ac:dyDescent="0.35">
      <c r="O63" s="49" t="s">
        <v>229</v>
      </c>
      <c r="P63" s="31">
        <v>4</v>
      </c>
      <c r="Q63" s="31">
        <v>1250</v>
      </c>
      <c r="R63" s="273">
        <f t="shared" si="7"/>
        <v>5000</v>
      </c>
      <c r="S63" s="34" t="s">
        <v>307</v>
      </c>
    </row>
    <row r="64" spans="2:19" x14ac:dyDescent="0.35">
      <c r="O64" s="49" t="s">
        <v>75</v>
      </c>
      <c r="P64" s="31">
        <v>2</v>
      </c>
      <c r="Q64" s="31">
        <v>1250</v>
      </c>
      <c r="R64" s="273">
        <f t="shared" si="7"/>
        <v>2500</v>
      </c>
      <c r="S64" s="34" t="s">
        <v>335</v>
      </c>
    </row>
    <row r="65" spans="15:19" ht="19.2" x14ac:dyDescent="0.35">
      <c r="O65" s="49" t="s">
        <v>308</v>
      </c>
      <c r="P65" s="31">
        <v>2</v>
      </c>
      <c r="Q65" s="31">
        <v>1250</v>
      </c>
      <c r="R65" s="273">
        <f t="shared" si="7"/>
        <v>2500</v>
      </c>
      <c r="S65" s="29" t="s">
        <v>306</v>
      </c>
    </row>
    <row r="66" spans="15:19" x14ac:dyDescent="0.35">
      <c r="O66" s="49" t="s">
        <v>223</v>
      </c>
      <c r="P66" s="31">
        <v>4</v>
      </c>
      <c r="Q66" s="31">
        <v>1250</v>
      </c>
      <c r="R66" s="273">
        <f t="shared" si="7"/>
        <v>5000</v>
      </c>
      <c r="S66" s="34" t="s">
        <v>225</v>
      </c>
    </row>
    <row r="67" spans="15:19" x14ac:dyDescent="0.35">
      <c r="O67" s="49" t="s">
        <v>268</v>
      </c>
      <c r="P67" s="31">
        <v>2</v>
      </c>
      <c r="Q67" s="31">
        <v>1250</v>
      </c>
      <c r="R67" s="273">
        <f t="shared" si="7"/>
        <v>2500</v>
      </c>
      <c r="S67" s="34" t="s">
        <v>226</v>
      </c>
    </row>
    <row r="68" spans="15:19" x14ac:dyDescent="0.35">
      <c r="O68" s="49" t="s">
        <v>203</v>
      </c>
      <c r="P68" s="31">
        <v>2</v>
      </c>
      <c r="Q68" s="31">
        <v>1250</v>
      </c>
      <c r="R68" s="273">
        <f t="shared" si="7"/>
        <v>2500</v>
      </c>
      <c r="S68" s="34" t="s">
        <v>334</v>
      </c>
    </row>
    <row r="69" spans="15:19" x14ac:dyDescent="0.35">
      <c r="O69" s="49" t="s">
        <v>444</v>
      </c>
      <c r="P69" s="31">
        <v>2</v>
      </c>
      <c r="Q69" s="31">
        <v>1250</v>
      </c>
      <c r="R69" s="273">
        <f t="shared" si="7"/>
        <v>2500</v>
      </c>
      <c r="S69" s="34" t="s">
        <v>283</v>
      </c>
    </row>
    <row r="70" spans="15:19" x14ac:dyDescent="0.35">
      <c r="P70" s="211">
        <f>SUM(P62:P69)</f>
        <v>22</v>
      </c>
      <c r="Q70" s="211"/>
      <c r="R70" s="274">
        <f>SUM(R62:R69)</f>
        <v>27500</v>
      </c>
    </row>
    <row r="74" spans="15:19" x14ac:dyDescent="0.35">
      <c r="O74" s="326" t="s">
        <v>449</v>
      </c>
      <c r="P74" s="326"/>
      <c r="Q74" s="326"/>
      <c r="R74" s="326"/>
      <c r="S74" s="326"/>
    </row>
    <row r="75" spans="15:19" x14ac:dyDescent="0.35">
      <c r="O75" s="153" t="s">
        <v>109</v>
      </c>
      <c r="P75" s="148" t="s">
        <v>110</v>
      </c>
      <c r="Q75" s="148" t="s">
        <v>111</v>
      </c>
      <c r="R75" s="149" t="s">
        <v>112</v>
      </c>
      <c r="S75" s="148" t="s">
        <v>113</v>
      </c>
    </row>
    <row r="76" spans="15:19" x14ac:dyDescent="0.35">
      <c r="O76" s="49" t="s">
        <v>436</v>
      </c>
      <c r="P76" s="31">
        <v>7</v>
      </c>
      <c r="Q76" s="31">
        <v>1250</v>
      </c>
      <c r="R76" s="31">
        <f>PRODUCT(P76:Q76)</f>
        <v>8750</v>
      </c>
      <c r="S76" s="34" t="s">
        <v>441</v>
      </c>
    </row>
    <row r="77" spans="15:19" x14ac:dyDescent="0.35">
      <c r="O77" s="49" t="s">
        <v>437</v>
      </c>
      <c r="P77" s="31">
        <v>2</v>
      </c>
      <c r="Q77" s="31">
        <v>1250</v>
      </c>
      <c r="R77" s="31">
        <f t="shared" ref="R77:R79" si="8">PRODUCT(P77:Q77)</f>
        <v>2500</v>
      </c>
      <c r="S77" s="31" t="s">
        <v>442</v>
      </c>
    </row>
    <row r="78" spans="15:19" x14ac:dyDescent="0.35">
      <c r="O78" s="49" t="s">
        <v>438</v>
      </c>
      <c r="P78" s="31">
        <v>3</v>
      </c>
      <c r="Q78" s="31">
        <v>1250</v>
      </c>
      <c r="R78" s="31">
        <f t="shared" si="8"/>
        <v>3750</v>
      </c>
      <c r="S78" s="34" t="s">
        <v>472</v>
      </c>
    </row>
    <row r="79" spans="15:19" x14ac:dyDescent="0.35">
      <c r="O79" s="49" t="s">
        <v>447</v>
      </c>
      <c r="P79" s="31">
        <v>4</v>
      </c>
      <c r="Q79" s="31">
        <v>1250</v>
      </c>
      <c r="R79" s="31">
        <f t="shared" si="8"/>
        <v>5000</v>
      </c>
      <c r="S79" s="34" t="s">
        <v>440</v>
      </c>
    </row>
    <row r="80" spans="15:19" x14ac:dyDescent="0.35">
      <c r="P80" s="162">
        <f>SUM(P76:P79)</f>
        <v>16</v>
      </c>
      <c r="Q80" s="162"/>
      <c r="R80" s="162">
        <f>SUM(R76:R79)</f>
        <v>20000</v>
      </c>
    </row>
  </sheetData>
  <sortState xmlns:xlrd2="http://schemas.microsoft.com/office/spreadsheetml/2017/richdata2" ref="O43:S47">
    <sortCondition ref="S43:S47"/>
  </sortState>
  <mergeCells count="8">
    <mergeCell ref="O51:S51"/>
    <mergeCell ref="O60:S60"/>
    <mergeCell ref="O74:S74"/>
    <mergeCell ref="O7:S7"/>
    <mergeCell ref="A1:D1"/>
    <mergeCell ref="F1:K1"/>
    <mergeCell ref="N1:R1"/>
    <mergeCell ref="O40:S40"/>
  </mergeCells>
  <phoneticPr fontId="17" type="noConversion"/>
  <conditionalFormatting sqref="I15:J18 I13:I14">
    <cfRule type="dataBar" priority="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{B3052F00-D84E-4CF9-BE96-3D1A7E0817C0}</x14:id>
        </ext>
      </extLst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052F00-D84E-4CF9-BE96-3D1A7E0817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I15:J18 I13:I14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O50"/>
  <sheetViews>
    <sheetView zoomScaleNormal="100" workbookViewId="0">
      <selection activeCell="H24" sqref="H24"/>
    </sheetView>
  </sheetViews>
  <sheetFormatPr baseColWidth="10" defaultColWidth="11.33203125" defaultRowHeight="18" x14ac:dyDescent="0.35"/>
  <cols>
    <col min="1" max="1" width="5.21875" style="35" customWidth="1"/>
    <col min="2" max="2" width="30.21875" style="43" customWidth="1"/>
    <col min="3" max="3" width="18.6640625" style="61" customWidth="1"/>
    <col min="4" max="4" width="31.21875" style="35" customWidth="1"/>
    <col min="5" max="5" width="22" style="35" customWidth="1"/>
    <col min="6" max="6" width="6.44140625" style="35" customWidth="1"/>
    <col min="7" max="7" width="31.77734375" style="35" customWidth="1"/>
    <col min="8" max="8" width="22.77734375" style="35" customWidth="1"/>
    <col min="9" max="9" width="22.44140625" style="35" customWidth="1"/>
    <col min="10" max="10" width="20.77734375" style="35" customWidth="1"/>
    <col min="11" max="11" width="19.21875" style="35" customWidth="1"/>
    <col min="12" max="12" width="11.33203125" style="35"/>
    <col min="13" max="13" width="21.44140625" style="35" customWidth="1"/>
    <col min="14" max="16384" width="11.33203125" style="35"/>
  </cols>
  <sheetData>
    <row r="1" spans="1:12" ht="51.75" customHeight="1" x14ac:dyDescent="0.35">
      <c r="A1" s="325" t="s">
        <v>358</v>
      </c>
      <c r="B1" s="325"/>
      <c r="C1" s="325"/>
      <c r="D1" s="325"/>
      <c r="F1" s="325" t="s">
        <v>359</v>
      </c>
      <c r="G1" s="325"/>
      <c r="H1" s="325"/>
      <c r="I1" s="325"/>
      <c r="J1" s="325"/>
      <c r="K1" s="325"/>
    </row>
    <row r="2" spans="1:12" ht="42" customHeight="1" x14ac:dyDescent="0.35">
      <c r="A2" s="90" t="s">
        <v>2</v>
      </c>
      <c r="B2" s="91" t="s">
        <v>27</v>
      </c>
      <c r="C2" s="92" t="s">
        <v>0</v>
      </c>
      <c r="D2" s="90" t="s">
        <v>115</v>
      </c>
      <c r="F2" s="75" t="s">
        <v>2</v>
      </c>
      <c r="G2" s="153" t="s">
        <v>109</v>
      </c>
      <c r="H2" s="148" t="s">
        <v>110</v>
      </c>
      <c r="I2" s="148" t="s">
        <v>111</v>
      </c>
      <c r="J2" s="149" t="s">
        <v>112</v>
      </c>
      <c r="K2" s="148" t="s">
        <v>113</v>
      </c>
    </row>
    <row r="3" spans="1:12" ht="26.4" customHeight="1" x14ac:dyDescent="0.35">
      <c r="A3" s="147">
        <v>1</v>
      </c>
      <c r="B3" s="49" t="s">
        <v>372</v>
      </c>
      <c r="C3" s="144">
        <v>3000</v>
      </c>
      <c r="D3" s="30" t="s">
        <v>485</v>
      </c>
      <c r="F3" s="31">
        <v>1</v>
      </c>
      <c r="G3" s="50" t="s">
        <v>68</v>
      </c>
      <c r="H3" s="31">
        <v>33</v>
      </c>
      <c r="I3" s="31">
        <v>500</v>
      </c>
      <c r="J3" s="32">
        <f t="shared" ref="J3" si="0">PRODUCT(H3:I3)</f>
        <v>16500</v>
      </c>
      <c r="K3" s="33" t="s">
        <v>10</v>
      </c>
    </row>
    <row r="4" spans="1:12" ht="27.6" customHeight="1" x14ac:dyDescent="0.35">
      <c r="A4" s="147">
        <v>2</v>
      </c>
      <c r="B4" s="39" t="s">
        <v>77</v>
      </c>
      <c r="C4" s="144">
        <v>37800</v>
      </c>
      <c r="D4" s="30" t="s">
        <v>285</v>
      </c>
      <c r="F4" s="31">
        <v>2</v>
      </c>
      <c r="G4" s="50" t="s">
        <v>262</v>
      </c>
      <c r="H4" s="31">
        <v>26</v>
      </c>
      <c r="I4" s="31">
        <v>500</v>
      </c>
      <c r="J4" s="32">
        <f t="shared" ref="J4:J10" si="1">PRODUCT(H4:I4)</f>
        <v>13000</v>
      </c>
      <c r="K4" s="34" t="s">
        <v>156</v>
      </c>
      <c r="L4" s="323" t="s">
        <v>506</v>
      </c>
    </row>
    <row r="5" spans="1:12" ht="27" customHeight="1" x14ac:dyDescent="0.35">
      <c r="A5" s="147">
        <v>3</v>
      </c>
      <c r="B5" s="39" t="s">
        <v>141</v>
      </c>
      <c r="C5" s="144">
        <v>39300</v>
      </c>
      <c r="D5" s="48" t="s">
        <v>142</v>
      </c>
      <c r="F5" s="31">
        <v>3</v>
      </c>
      <c r="G5" s="50" t="s">
        <v>105</v>
      </c>
      <c r="H5" s="31">
        <v>24</v>
      </c>
      <c r="I5" s="31">
        <v>500</v>
      </c>
      <c r="J5" s="32">
        <f t="shared" si="1"/>
        <v>12000</v>
      </c>
      <c r="K5" s="31" t="s">
        <v>125</v>
      </c>
    </row>
    <row r="6" spans="1:12" ht="27" customHeight="1" x14ac:dyDescent="0.35">
      <c r="A6" s="147">
        <v>4</v>
      </c>
      <c r="B6" s="39" t="s">
        <v>78</v>
      </c>
      <c r="C6" s="144">
        <v>37200</v>
      </c>
      <c r="D6" s="30" t="s">
        <v>373</v>
      </c>
      <c r="F6" s="31">
        <v>4</v>
      </c>
      <c r="G6" s="50" t="s">
        <v>260</v>
      </c>
      <c r="H6" s="31">
        <v>18</v>
      </c>
      <c r="I6" s="31">
        <v>500</v>
      </c>
      <c r="J6" s="32">
        <f t="shared" si="1"/>
        <v>9000</v>
      </c>
      <c r="K6" s="31" t="s">
        <v>157</v>
      </c>
    </row>
    <row r="7" spans="1:12" ht="21" customHeight="1" x14ac:dyDescent="0.35">
      <c r="A7" s="147">
        <v>5</v>
      </c>
      <c r="B7" s="39" t="s">
        <v>253</v>
      </c>
      <c r="C7" s="144">
        <v>33600</v>
      </c>
      <c r="D7" s="30" t="s">
        <v>250</v>
      </c>
      <c r="F7" s="31">
        <v>5</v>
      </c>
      <c r="G7" s="49" t="s">
        <v>311</v>
      </c>
      <c r="H7" s="31">
        <v>4</v>
      </c>
      <c r="I7" s="31">
        <v>500</v>
      </c>
      <c r="J7" s="32">
        <f t="shared" si="1"/>
        <v>2000</v>
      </c>
      <c r="K7" s="34" t="s">
        <v>312</v>
      </c>
    </row>
    <row r="8" spans="1:12" ht="22.5" customHeight="1" x14ac:dyDescent="0.35">
      <c r="A8" s="147">
        <v>6</v>
      </c>
      <c r="B8" s="39" t="s">
        <v>76</v>
      </c>
      <c r="C8" s="144">
        <v>18000</v>
      </c>
      <c r="D8" s="44" t="s">
        <v>11</v>
      </c>
      <c r="F8" s="31">
        <v>6</v>
      </c>
      <c r="G8" s="50" t="s">
        <v>204</v>
      </c>
      <c r="H8" s="31">
        <v>39</v>
      </c>
      <c r="I8" s="31">
        <v>500</v>
      </c>
      <c r="J8" s="32">
        <f t="shared" si="1"/>
        <v>19500</v>
      </c>
      <c r="K8" s="31" t="s">
        <v>205</v>
      </c>
    </row>
    <row r="9" spans="1:12" ht="27" customHeight="1" x14ac:dyDescent="0.35">
      <c r="B9" s="71" t="s">
        <v>1</v>
      </c>
      <c r="C9" s="219">
        <f>SUM(C3:C8)</f>
        <v>168900</v>
      </c>
      <c r="D9" s="34"/>
      <c r="F9" s="31">
        <v>7</v>
      </c>
      <c r="G9" s="50" t="s">
        <v>155</v>
      </c>
      <c r="H9" s="31">
        <v>21</v>
      </c>
      <c r="I9" s="31">
        <v>500</v>
      </c>
      <c r="J9" s="32">
        <f t="shared" si="1"/>
        <v>10500</v>
      </c>
      <c r="K9" s="31" t="s">
        <v>255</v>
      </c>
    </row>
    <row r="10" spans="1:12" ht="27" customHeight="1" x14ac:dyDescent="0.35">
      <c r="B10" s="70"/>
      <c r="C10" s="70"/>
      <c r="D10" s="70"/>
      <c r="F10" s="31">
        <v>8</v>
      </c>
      <c r="G10" s="50" t="s">
        <v>259</v>
      </c>
      <c r="H10" s="31">
        <v>80</v>
      </c>
      <c r="I10" s="31">
        <v>500</v>
      </c>
      <c r="J10" s="32">
        <f t="shared" si="1"/>
        <v>40000</v>
      </c>
      <c r="K10" s="31" t="s">
        <v>227</v>
      </c>
    </row>
    <row r="11" spans="1:12" ht="27" customHeight="1" x14ac:dyDescent="0.35">
      <c r="B11" s="35"/>
      <c r="C11" s="35"/>
      <c r="F11" s="42"/>
      <c r="G11" s="43"/>
      <c r="H11" s="203">
        <f>SUM(H3:H10)</f>
        <v>245</v>
      </c>
      <c r="I11" s="201"/>
      <c r="J11" s="201">
        <f>SUM(J3:J10)</f>
        <v>122500</v>
      </c>
      <c r="K11" s="202"/>
    </row>
    <row r="12" spans="1:12" ht="27" customHeight="1" x14ac:dyDescent="0.5">
      <c r="B12" s="35"/>
      <c r="C12" s="35"/>
      <c r="F12" s="42"/>
      <c r="G12" s="43"/>
      <c r="H12" s="42"/>
      <c r="I12" s="66"/>
      <c r="J12" s="89"/>
      <c r="K12" s="42"/>
    </row>
    <row r="13" spans="1:12" ht="23.1" customHeight="1" x14ac:dyDescent="0.5">
      <c r="B13" s="35"/>
      <c r="C13" s="35"/>
      <c r="F13" s="42"/>
      <c r="G13" s="43"/>
      <c r="H13" s="42" t="s">
        <v>466</v>
      </c>
      <c r="I13" s="66">
        <v>15.64</v>
      </c>
      <c r="J13" s="66">
        <f>PRODUCT(I13*6.75)</f>
        <v>105.57000000000001</v>
      </c>
      <c r="K13" s="42"/>
    </row>
    <row r="14" spans="1:12" ht="24.6" customHeight="1" x14ac:dyDescent="0.5">
      <c r="B14" s="35"/>
      <c r="C14" s="35"/>
      <c r="F14" s="42"/>
      <c r="G14" s="43"/>
      <c r="H14" s="42" t="s">
        <v>467</v>
      </c>
      <c r="I14" s="66">
        <v>19.5</v>
      </c>
      <c r="J14" s="66">
        <f t="shared" ref="J14:J18" si="2">PRODUCT(I14*6.75)</f>
        <v>131.625</v>
      </c>
      <c r="K14" s="42"/>
    </row>
    <row r="15" spans="1:12" ht="24.9" customHeight="1" x14ac:dyDescent="0.5">
      <c r="B15" s="35"/>
      <c r="C15" s="35"/>
      <c r="F15" s="42"/>
      <c r="G15" s="43"/>
      <c r="H15" s="42"/>
      <c r="I15" s="66"/>
      <c r="J15" s="66">
        <f t="shared" si="2"/>
        <v>0</v>
      </c>
      <c r="K15" s="42"/>
    </row>
    <row r="16" spans="1:12" ht="24.6" customHeight="1" x14ac:dyDescent="0.5">
      <c r="B16" s="35"/>
      <c r="C16" s="234">
        <f>SUM(C9,J11)</f>
        <v>291400</v>
      </c>
      <c r="F16" s="42"/>
      <c r="G16" s="43"/>
      <c r="H16" s="42"/>
      <c r="I16" s="66"/>
      <c r="J16" s="66">
        <f t="shared" si="2"/>
        <v>0</v>
      </c>
      <c r="K16" s="42"/>
    </row>
    <row r="17" spans="2:11" ht="27" customHeight="1" x14ac:dyDescent="0.5">
      <c r="B17" s="35"/>
      <c r="C17" s="35"/>
      <c r="F17" s="42"/>
      <c r="G17" s="43"/>
      <c r="H17" s="42"/>
      <c r="I17" s="66"/>
      <c r="J17" s="66">
        <f t="shared" si="2"/>
        <v>0</v>
      </c>
      <c r="K17" s="42"/>
    </row>
    <row r="18" spans="2:11" ht="29.25" customHeight="1" x14ac:dyDescent="0.5">
      <c r="B18" s="35"/>
      <c r="C18" s="35"/>
      <c r="F18" s="42"/>
      <c r="G18" s="43"/>
      <c r="H18" s="42"/>
      <c r="I18" s="66"/>
      <c r="J18" s="66">
        <f t="shared" si="2"/>
        <v>0</v>
      </c>
      <c r="K18" s="42"/>
    </row>
    <row r="19" spans="2:11" ht="24.9" customHeight="1" x14ac:dyDescent="0.5">
      <c r="B19" s="35"/>
      <c r="C19" s="35"/>
      <c r="F19" s="42"/>
      <c r="G19" s="42"/>
      <c r="H19" s="42"/>
      <c r="I19" s="66"/>
      <c r="J19" s="66">
        <f>I19*6.75</f>
        <v>0</v>
      </c>
      <c r="K19" s="66"/>
    </row>
    <row r="20" spans="2:11" ht="30.6" customHeight="1" x14ac:dyDescent="0.5">
      <c r="B20" s="35"/>
      <c r="C20" s="35"/>
      <c r="F20" s="42"/>
      <c r="G20" s="42"/>
      <c r="H20" s="42"/>
      <c r="I20" s="66"/>
      <c r="J20" s="66">
        <f>I20*6.75</f>
        <v>0</v>
      </c>
      <c r="K20" s="42"/>
    </row>
    <row r="21" spans="2:11" ht="31.5" customHeight="1" x14ac:dyDescent="0.5">
      <c r="F21" s="42"/>
      <c r="G21" s="42"/>
      <c r="H21" s="42"/>
      <c r="I21" s="66"/>
      <c r="J21" s="66">
        <f>I21*6.75</f>
        <v>0</v>
      </c>
      <c r="K21" s="42"/>
    </row>
    <row r="22" spans="2:11" ht="33" customHeight="1" x14ac:dyDescent="0.35">
      <c r="F22" s="42"/>
      <c r="G22" s="42"/>
      <c r="H22" s="42"/>
      <c r="I22" s="101"/>
      <c r="J22" s="101"/>
      <c r="K22" s="42"/>
    </row>
    <row r="23" spans="2:11" ht="29.25" customHeight="1" x14ac:dyDescent="0.35">
      <c r="F23" s="42"/>
      <c r="G23" s="42"/>
      <c r="H23" s="42"/>
      <c r="I23" s="324">
        <f>SUM(I13:I19)</f>
        <v>35.14</v>
      </c>
      <c r="J23" s="233">
        <f>SUM(J13:J19)</f>
        <v>237.19499999999999</v>
      </c>
      <c r="K23" s="42"/>
    </row>
    <row r="24" spans="2:11" ht="27" customHeight="1" x14ac:dyDescent="0.35">
      <c r="F24" s="42"/>
      <c r="G24" s="42"/>
      <c r="H24" s="42"/>
      <c r="I24" s="42"/>
      <c r="J24" s="89"/>
      <c r="K24" s="42"/>
    </row>
    <row r="25" spans="2:11" x14ac:dyDescent="0.35">
      <c r="F25" s="42"/>
      <c r="G25" s="42"/>
      <c r="H25" s="42"/>
      <c r="I25" s="42"/>
      <c r="J25" s="89"/>
      <c r="K25" s="42"/>
    </row>
    <row r="26" spans="2:11" x14ac:dyDescent="0.35">
      <c r="F26" s="42"/>
      <c r="G26" s="42"/>
      <c r="H26" s="42"/>
      <c r="I26" s="42"/>
      <c r="J26" s="89"/>
      <c r="K26" s="42"/>
    </row>
    <row r="27" spans="2:11" x14ac:dyDescent="0.35">
      <c r="F27" s="42"/>
      <c r="G27" s="42"/>
      <c r="H27" s="42"/>
      <c r="I27" s="42"/>
      <c r="J27" s="89"/>
      <c r="K27" s="42"/>
    </row>
    <row r="28" spans="2:11" x14ac:dyDescent="0.35">
      <c r="F28" s="42"/>
      <c r="G28" s="42"/>
      <c r="H28" s="42"/>
      <c r="I28" s="42"/>
      <c r="J28" s="89"/>
      <c r="K28" s="42"/>
    </row>
    <row r="29" spans="2:11" x14ac:dyDescent="0.35">
      <c r="F29" s="42"/>
      <c r="G29" s="42"/>
      <c r="H29" s="42"/>
      <c r="I29" s="42"/>
      <c r="J29" s="89"/>
      <c r="K29" s="42"/>
    </row>
    <row r="30" spans="2:11" x14ac:dyDescent="0.35">
      <c r="F30" s="42"/>
      <c r="G30" s="42"/>
      <c r="H30" s="42"/>
      <c r="I30" s="42"/>
      <c r="J30" s="89"/>
      <c r="K30" s="42"/>
    </row>
    <row r="31" spans="2:11" x14ac:dyDescent="0.35">
      <c r="F31" s="42"/>
      <c r="G31" s="42"/>
      <c r="H31" s="42"/>
      <c r="I31" s="42"/>
      <c r="J31" s="89"/>
      <c r="K31" s="42"/>
    </row>
    <row r="32" spans="2:11" x14ac:dyDescent="0.35">
      <c r="F32" s="42"/>
      <c r="G32" s="42"/>
      <c r="H32" s="42"/>
      <c r="I32" s="42"/>
      <c r="J32" s="89"/>
      <c r="K32" s="42"/>
    </row>
    <row r="33" spans="6:15" x14ac:dyDescent="0.35">
      <c r="F33" s="42"/>
      <c r="G33" s="42"/>
      <c r="H33" s="42"/>
      <c r="I33" s="42"/>
      <c r="J33" s="89"/>
      <c r="K33" s="42"/>
    </row>
    <row r="34" spans="6:15" x14ac:dyDescent="0.35">
      <c r="F34" s="42"/>
      <c r="G34" s="42"/>
      <c r="H34" s="42"/>
      <c r="I34" s="42"/>
      <c r="J34" s="89"/>
      <c r="K34" s="42"/>
    </row>
    <row r="35" spans="6:15" x14ac:dyDescent="0.35">
      <c r="F35" s="42"/>
      <c r="G35" s="42"/>
      <c r="H35" s="42"/>
      <c r="I35" s="42"/>
      <c r="J35" s="89"/>
      <c r="K35" s="42"/>
    </row>
    <row r="36" spans="6:15" x14ac:dyDescent="0.35">
      <c r="F36" s="42"/>
      <c r="G36" s="42"/>
      <c r="H36" s="42"/>
      <c r="I36" s="42"/>
      <c r="J36" s="89"/>
      <c r="K36" s="42"/>
    </row>
    <row r="37" spans="6:15" x14ac:dyDescent="0.35">
      <c r="F37" s="42"/>
      <c r="G37" s="42"/>
      <c r="H37" s="42"/>
      <c r="I37" s="42"/>
      <c r="J37" s="89"/>
      <c r="K37" s="42"/>
    </row>
    <row r="38" spans="6:15" x14ac:dyDescent="0.35">
      <c r="F38" s="42"/>
      <c r="G38" s="42"/>
      <c r="H38" s="42"/>
      <c r="I38" s="42"/>
      <c r="J38" s="89"/>
      <c r="K38" s="42"/>
    </row>
    <row r="39" spans="6:15" x14ac:dyDescent="0.35">
      <c r="F39" s="42"/>
      <c r="G39" s="42"/>
      <c r="H39" s="42"/>
      <c r="I39" s="42"/>
      <c r="J39" s="89"/>
      <c r="K39" s="42"/>
    </row>
    <row r="40" spans="6:15" x14ac:dyDescent="0.35">
      <c r="F40" s="42"/>
      <c r="G40" s="42"/>
      <c r="H40" s="42"/>
      <c r="I40" s="42"/>
      <c r="J40" s="89"/>
      <c r="K40" s="42"/>
    </row>
    <row r="41" spans="6:15" x14ac:dyDescent="0.35">
      <c r="F41" s="42"/>
      <c r="G41" s="42"/>
      <c r="H41" s="42"/>
      <c r="I41" s="42"/>
      <c r="J41" s="89"/>
      <c r="K41" s="42"/>
    </row>
    <row r="42" spans="6:15" x14ac:dyDescent="0.35">
      <c r="F42" s="42"/>
      <c r="G42" s="42"/>
      <c r="H42" s="42"/>
      <c r="I42" s="42"/>
      <c r="J42" s="89"/>
      <c r="K42" s="42"/>
    </row>
    <row r="43" spans="6:15" x14ac:dyDescent="0.35">
      <c r="F43" s="42"/>
      <c r="G43" s="42"/>
      <c r="H43" s="42"/>
      <c r="I43" s="42"/>
      <c r="J43" s="89"/>
      <c r="K43" s="42"/>
    </row>
    <row r="44" spans="6:15" x14ac:dyDescent="0.35">
      <c r="F44" s="42"/>
      <c r="G44" s="42"/>
      <c r="H44" s="42"/>
      <c r="I44" s="42"/>
      <c r="J44" s="89"/>
      <c r="K44" s="42"/>
    </row>
    <row r="45" spans="6:15" x14ac:dyDescent="0.35">
      <c r="F45" s="42"/>
      <c r="G45" s="42"/>
      <c r="H45" s="42"/>
      <c r="I45" s="42"/>
      <c r="J45" s="89"/>
      <c r="K45" s="42"/>
    </row>
    <row r="46" spans="6:15" x14ac:dyDescent="0.35">
      <c r="F46" s="42"/>
      <c r="G46" s="42"/>
      <c r="H46" s="42"/>
      <c r="I46" s="42"/>
      <c r="J46" s="89"/>
      <c r="K46" s="42"/>
      <c r="O46" s="35">
        <f>SUM(O3:O45)</f>
        <v>0</v>
      </c>
    </row>
    <row r="47" spans="6:15" x14ac:dyDescent="0.35">
      <c r="F47" s="42"/>
      <c r="G47" s="42"/>
      <c r="H47" s="42"/>
      <c r="I47" s="42"/>
      <c r="J47" s="89"/>
      <c r="K47" s="42"/>
    </row>
    <row r="48" spans="6:15" x14ac:dyDescent="0.35">
      <c r="F48" s="42"/>
      <c r="G48" s="42"/>
      <c r="H48" s="42"/>
      <c r="I48" s="42"/>
      <c r="J48" s="89"/>
      <c r="K48" s="42"/>
    </row>
    <row r="50" ht="20.25" customHeight="1" x14ac:dyDescent="0.35"/>
  </sheetData>
  <sortState xmlns:xlrd2="http://schemas.microsoft.com/office/spreadsheetml/2017/richdata2" ref="B3:D8">
    <sortCondition ref="D3:D8"/>
  </sortState>
  <mergeCells count="2">
    <mergeCell ref="A1:D1"/>
    <mergeCell ref="F1:K1"/>
  </mergeCells>
  <conditionalFormatting sqref="I12:I21 J13:J21 K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{F1D6D13D-F45A-4A41-AEEB-62358A811034}</x14:id>
        </ext>
      </extLst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D6D13D-F45A-4A41-AEEB-62358A81103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I12:I21 J13:J21 K19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G19"/>
  <sheetViews>
    <sheetView zoomScaleNormal="100" workbookViewId="0">
      <selection activeCell="D19" sqref="D19:D20"/>
    </sheetView>
  </sheetViews>
  <sheetFormatPr baseColWidth="10" defaultColWidth="11.33203125" defaultRowHeight="16.8" x14ac:dyDescent="0.3"/>
  <cols>
    <col min="1" max="1" width="23.6640625" style="242" customWidth="1"/>
    <col min="2" max="2" width="7.44140625" style="242" customWidth="1"/>
    <col min="3" max="3" width="27.33203125" style="242" customWidth="1"/>
    <col min="4" max="4" width="21" style="243" customWidth="1"/>
    <col min="5" max="5" width="36.33203125" style="242" customWidth="1"/>
    <col min="6" max="6" width="21.33203125" style="242" customWidth="1"/>
    <col min="7" max="7" width="21.88671875" style="242" customWidth="1"/>
    <col min="8" max="8" width="11.33203125" style="242"/>
    <col min="9" max="9" width="23" style="242" customWidth="1"/>
    <col min="10" max="16384" width="11.33203125" style="242"/>
  </cols>
  <sheetData>
    <row r="1" spans="1:7" ht="23.4" customHeight="1" x14ac:dyDescent="0.4">
      <c r="A1" s="205"/>
      <c r="B1" s="329" t="s">
        <v>360</v>
      </c>
      <c r="C1" s="330"/>
      <c r="D1" s="330"/>
      <c r="E1" s="331"/>
      <c r="F1" s="205"/>
      <c r="G1" s="205"/>
    </row>
    <row r="2" spans="1:7" ht="21" x14ac:dyDescent="0.4">
      <c r="A2" s="205"/>
      <c r="B2" s="206" t="s">
        <v>2</v>
      </c>
      <c r="C2" s="206" t="s">
        <v>119</v>
      </c>
      <c r="D2" s="207" t="s">
        <v>0</v>
      </c>
      <c r="E2" s="206" t="s">
        <v>115</v>
      </c>
      <c r="F2" s="205"/>
      <c r="G2" s="205"/>
    </row>
    <row r="3" spans="1:7" ht="21" x14ac:dyDescent="0.4">
      <c r="A3" s="205"/>
      <c r="B3" s="206">
        <v>1</v>
      </c>
      <c r="C3" s="39" t="s">
        <v>258</v>
      </c>
      <c r="D3" s="144">
        <v>3300</v>
      </c>
      <c r="E3" s="34" t="s">
        <v>263</v>
      </c>
      <c r="F3" s="205"/>
      <c r="G3" s="205"/>
    </row>
    <row r="4" spans="1:7" ht="22.5" customHeight="1" x14ac:dyDescent="0.4">
      <c r="A4" s="205"/>
      <c r="B4" s="206">
        <v>2</v>
      </c>
      <c r="C4" s="39" t="s">
        <v>375</v>
      </c>
      <c r="D4" s="144">
        <v>20900</v>
      </c>
      <c r="E4" s="31" t="s">
        <v>423</v>
      </c>
      <c r="F4" s="205"/>
      <c r="G4" s="205"/>
    </row>
    <row r="5" spans="1:7" ht="22.5" customHeight="1" x14ac:dyDescent="0.4">
      <c r="A5" s="205"/>
      <c r="B5" s="206">
        <v>3</v>
      </c>
      <c r="C5" s="39" t="s">
        <v>379</v>
      </c>
      <c r="D5" s="144">
        <v>19100</v>
      </c>
      <c r="E5" s="34" t="s">
        <v>383</v>
      </c>
      <c r="F5" s="205"/>
      <c r="G5" s="205"/>
    </row>
    <row r="6" spans="1:7" ht="21" customHeight="1" x14ac:dyDescent="0.4">
      <c r="A6" s="205"/>
      <c r="B6" s="206">
        <v>4</v>
      </c>
      <c r="C6" s="39" t="s">
        <v>374</v>
      </c>
      <c r="D6" s="144">
        <v>16000</v>
      </c>
      <c r="E6" s="31" t="s">
        <v>382</v>
      </c>
      <c r="F6" s="205"/>
      <c r="G6" s="205"/>
    </row>
    <row r="7" spans="1:7" ht="21" customHeight="1" x14ac:dyDescent="0.4">
      <c r="A7" s="205"/>
      <c r="B7" s="206">
        <v>5</v>
      </c>
      <c r="C7" s="39" t="s">
        <v>377</v>
      </c>
      <c r="D7" s="144">
        <v>33300</v>
      </c>
      <c r="E7" s="30" t="s">
        <v>380</v>
      </c>
      <c r="F7" s="205"/>
      <c r="G7" s="205"/>
    </row>
    <row r="8" spans="1:7" ht="24" customHeight="1" x14ac:dyDescent="0.4">
      <c r="A8" s="205"/>
      <c r="B8" s="206">
        <v>6</v>
      </c>
      <c r="C8" s="39" t="s">
        <v>378</v>
      </c>
      <c r="D8" s="144">
        <v>3300</v>
      </c>
      <c r="E8" s="34" t="s">
        <v>381</v>
      </c>
      <c r="F8" s="205"/>
      <c r="G8" s="205"/>
    </row>
    <row r="9" spans="1:7" ht="21" x14ac:dyDescent="0.4">
      <c r="A9" s="205"/>
      <c r="B9" s="206">
        <v>7</v>
      </c>
      <c r="C9" s="39" t="s">
        <v>376</v>
      </c>
      <c r="D9" s="144">
        <v>4500</v>
      </c>
      <c r="E9" s="31" t="s">
        <v>384</v>
      </c>
      <c r="F9" s="205"/>
      <c r="G9" s="205"/>
    </row>
    <row r="10" spans="1:7" ht="21" x14ac:dyDescent="0.4">
      <c r="A10" s="205"/>
      <c r="B10" s="206">
        <v>8</v>
      </c>
      <c r="C10" s="39" t="s">
        <v>166</v>
      </c>
      <c r="D10" s="144">
        <v>41700</v>
      </c>
      <c r="E10" s="31" t="s">
        <v>167</v>
      </c>
      <c r="F10" s="205"/>
      <c r="G10" s="205"/>
    </row>
    <row r="11" spans="1:7" ht="21" x14ac:dyDescent="0.4">
      <c r="A11" s="205"/>
      <c r="B11" s="206">
        <v>9</v>
      </c>
      <c r="C11" s="49" t="s">
        <v>73</v>
      </c>
      <c r="D11" s="144">
        <v>30500</v>
      </c>
      <c r="E11" s="31" t="s">
        <v>120</v>
      </c>
      <c r="F11" s="205"/>
      <c r="G11" s="205"/>
    </row>
    <row r="12" spans="1:7" ht="21" x14ac:dyDescent="0.4">
      <c r="A12" s="205"/>
      <c r="B12" s="208"/>
      <c r="C12" s="208" t="s">
        <v>1</v>
      </c>
      <c r="D12" s="316">
        <f>SUM(D3:D11)</f>
        <v>172600</v>
      </c>
      <c r="E12" s="208"/>
      <c r="F12" s="205"/>
      <c r="G12" s="205"/>
    </row>
    <row r="13" spans="1:7" ht="21" x14ac:dyDescent="0.4">
      <c r="A13" s="205"/>
      <c r="B13" s="205"/>
      <c r="C13" s="205"/>
      <c r="D13" s="209"/>
      <c r="E13" s="205"/>
      <c r="F13" s="205"/>
      <c r="G13" s="205"/>
    </row>
    <row r="14" spans="1:7" ht="21" x14ac:dyDescent="0.4">
      <c r="A14" s="205"/>
      <c r="E14" s="224"/>
      <c r="F14" s="205"/>
      <c r="G14" s="205"/>
    </row>
    <row r="15" spans="1:7" ht="20.25" customHeight="1" x14ac:dyDescent="0.4">
      <c r="B15" s="205"/>
      <c r="C15" s="205"/>
      <c r="D15" s="205"/>
      <c r="E15" s="205"/>
      <c r="F15" s="205"/>
      <c r="G15" s="205"/>
    </row>
    <row r="16" spans="1:7" ht="17.25" customHeight="1" x14ac:dyDescent="0.4">
      <c r="A16" s="220"/>
      <c r="B16" s="220"/>
      <c r="C16" s="220"/>
      <c r="D16" s="220"/>
      <c r="E16" s="220"/>
      <c r="F16" s="246"/>
      <c r="G16" s="205"/>
    </row>
    <row r="17" spans="1:7" ht="21" x14ac:dyDescent="0.4">
      <c r="A17" s="205"/>
      <c r="B17" s="220"/>
      <c r="C17" s="220"/>
      <c r="D17" s="220"/>
      <c r="E17" s="220"/>
      <c r="F17" s="205"/>
      <c r="G17" s="205"/>
    </row>
    <row r="18" spans="1:7" ht="21" x14ac:dyDescent="0.4">
      <c r="B18" s="205"/>
      <c r="C18" s="205"/>
      <c r="D18" s="209"/>
      <c r="E18" s="205"/>
    </row>
    <row r="19" spans="1:7" ht="21" x14ac:dyDescent="0.4">
      <c r="B19" s="205"/>
      <c r="C19" s="205"/>
      <c r="D19" s="209"/>
      <c r="E19" s="205"/>
    </row>
  </sheetData>
  <sortState xmlns:xlrd2="http://schemas.microsoft.com/office/spreadsheetml/2017/richdata2" ref="C4:E11">
    <sortCondition ref="E4:E11"/>
  </sortState>
  <mergeCells count="1">
    <mergeCell ref="B1:E1"/>
  </mergeCells>
  <pageMargins left="0.7" right="0.7" top="0.75" bottom="0.75" header="0.3" footer="0.3"/>
  <pageSetup paperSize="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0">
    <tabColor rgb="FFFFC000"/>
  </sheetPr>
  <dimension ref="B3:F22"/>
  <sheetViews>
    <sheetView workbookViewId="0">
      <selection activeCell="F19" sqref="F19"/>
    </sheetView>
  </sheetViews>
  <sheetFormatPr baseColWidth="10" defaultRowHeight="18" x14ac:dyDescent="0.5"/>
  <cols>
    <col min="2" max="2" width="5.44140625" customWidth="1"/>
    <col min="3" max="3" width="28" customWidth="1"/>
    <col min="4" max="4" width="21" style="8" customWidth="1"/>
    <col min="5" max="5" width="32.77734375" customWidth="1"/>
    <col min="6" max="6" width="32.44140625" customWidth="1"/>
    <col min="7" max="7" width="23.6640625" customWidth="1"/>
    <col min="8" max="8" width="21.21875" customWidth="1"/>
    <col min="9" max="9" width="20.21875" customWidth="1"/>
  </cols>
  <sheetData>
    <row r="3" spans="2:6" ht="24.6" thickBot="1" x14ac:dyDescent="0.55000000000000004">
      <c r="B3" s="4"/>
      <c r="C3" s="332" t="s">
        <v>361</v>
      </c>
      <c r="D3" s="332"/>
      <c r="E3" s="332"/>
    </row>
    <row r="6" spans="2:6" ht="30" customHeight="1" x14ac:dyDescent="0.5">
      <c r="B6" s="60" t="s">
        <v>2</v>
      </c>
      <c r="C6" s="60" t="s">
        <v>27</v>
      </c>
      <c r="D6" s="77" t="s">
        <v>0</v>
      </c>
      <c r="E6" s="60" t="s">
        <v>28</v>
      </c>
      <c r="F6" s="35"/>
    </row>
    <row r="7" spans="2:6" ht="38.25" customHeight="1" x14ac:dyDescent="0.5">
      <c r="B7" s="78">
        <v>1</v>
      </c>
      <c r="C7" s="50" t="s">
        <v>470</v>
      </c>
      <c r="D7" s="59">
        <v>46000</v>
      </c>
      <c r="E7" s="47" t="s">
        <v>441</v>
      </c>
      <c r="F7" s="35"/>
    </row>
    <row r="8" spans="2:6" ht="36" customHeight="1" x14ac:dyDescent="0.5">
      <c r="B8" s="78">
        <v>2</v>
      </c>
      <c r="C8" s="50" t="s">
        <v>447</v>
      </c>
      <c r="D8" s="59">
        <v>46000</v>
      </c>
      <c r="E8" s="45" t="s">
        <v>471</v>
      </c>
      <c r="F8" s="35"/>
    </row>
    <row r="9" spans="2:6" ht="37.5" customHeight="1" x14ac:dyDescent="0.5">
      <c r="B9" s="78">
        <v>3</v>
      </c>
      <c r="C9" s="50" t="s">
        <v>48</v>
      </c>
      <c r="D9" s="59">
        <v>46000</v>
      </c>
      <c r="E9" s="46" t="s">
        <v>3</v>
      </c>
      <c r="F9" s="35"/>
    </row>
    <row r="10" spans="2:6" ht="26.25" customHeight="1" x14ac:dyDescent="0.5">
      <c r="B10" s="35"/>
      <c r="C10" s="79" t="s">
        <v>1</v>
      </c>
      <c r="D10" s="317">
        <f>SUM(D7:D9)</f>
        <v>138000</v>
      </c>
      <c r="E10" s="35"/>
      <c r="F10" s="35"/>
    </row>
    <row r="19" ht="28.5" customHeight="1" x14ac:dyDescent="0.5"/>
    <row r="20" ht="38.25" customHeight="1" x14ac:dyDescent="0.5"/>
    <row r="21" ht="37.5" customHeight="1" x14ac:dyDescent="0.5"/>
    <row r="22" ht="36.75" customHeight="1" x14ac:dyDescent="0.5"/>
  </sheetData>
  <sortState xmlns:xlrd2="http://schemas.microsoft.com/office/spreadsheetml/2017/richdata2" ref="C7:E9">
    <sortCondition ref="E7:E9"/>
  </sortState>
  <mergeCells count="1">
    <mergeCell ref="C3:E3"/>
  </mergeCells>
  <pageMargins left="0.7" right="0.7" top="0.75" bottom="0.75" header="0.3" footer="0.3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4">
    <tabColor theme="5" tint="-0.249977111117893"/>
    <pageSetUpPr fitToPage="1"/>
  </sheetPr>
  <dimension ref="A1:U104"/>
  <sheetViews>
    <sheetView topLeftCell="K1" zoomScale="115" zoomScaleNormal="115" workbookViewId="0">
      <selection activeCell="T8" sqref="T8"/>
    </sheetView>
  </sheetViews>
  <sheetFormatPr baseColWidth="10" defaultColWidth="10.77734375" defaultRowHeight="18" x14ac:dyDescent="0.35"/>
  <cols>
    <col min="1" max="1" width="4.44140625" style="35" customWidth="1"/>
    <col min="2" max="2" width="26.88671875" style="43" customWidth="1"/>
    <col min="3" max="3" width="22.33203125" style="100" customWidth="1"/>
    <col min="4" max="4" width="27.44140625" style="35" customWidth="1"/>
    <col min="5" max="5" width="21.44140625" style="35" customWidth="1"/>
    <col min="6" max="6" width="4.44140625" style="35" customWidth="1"/>
    <col min="7" max="7" width="26.21875" style="35" customWidth="1"/>
    <col min="8" max="8" width="14" style="63" customWidth="1"/>
    <col min="9" max="9" width="10.77734375" style="109" customWidth="1"/>
    <col min="10" max="10" width="18.21875" style="109" customWidth="1"/>
    <col min="11" max="11" width="20.44140625" style="42" customWidth="1"/>
    <col min="12" max="12" width="20.44140625" style="35" customWidth="1"/>
    <col min="13" max="13" width="6" style="35" customWidth="1"/>
    <col min="14" max="14" width="28.44140625" style="35" customWidth="1"/>
    <col min="15" max="15" width="14.33203125" style="35" customWidth="1"/>
    <col min="16" max="16" width="15.88671875" style="35" customWidth="1"/>
    <col min="17" max="17" width="22.33203125" style="35" customWidth="1"/>
    <col min="18" max="18" width="23.77734375" style="42" customWidth="1"/>
    <col min="19" max="19" width="14" style="35" customWidth="1"/>
    <col min="20" max="21" width="12.77734375" style="42" customWidth="1"/>
    <col min="22" max="16384" width="10.77734375" style="35"/>
  </cols>
  <sheetData>
    <row r="1" spans="1:21" ht="49.5" customHeight="1" thickBot="1" x14ac:dyDescent="0.4">
      <c r="A1" s="327" t="s">
        <v>362</v>
      </c>
      <c r="B1" s="327"/>
      <c r="C1" s="327"/>
      <c r="D1" s="327"/>
      <c r="E1" s="142"/>
      <c r="F1" s="49"/>
      <c r="G1" s="333" t="s">
        <v>363</v>
      </c>
      <c r="H1" s="333"/>
      <c r="I1" s="333"/>
      <c r="J1" s="333"/>
      <c r="K1" s="31"/>
      <c r="N1" s="333" t="s">
        <v>364</v>
      </c>
      <c r="O1" s="333"/>
      <c r="P1" s="333"/>
      <c r="Q1" s="333"/>
      <c r="T1" s="35"/>
      <c r="U1" s="35"/>
    </row>
    <row r="2" spans="1:21" x14ac:dyDescent="0.35">
      <c r="A2" s="93"/>
      <c r="B2" s="96"/>
      <c r="C2" s="98"/>
      <c r="D2" s="93"/>
      <c r="E2" s="93"/>
      <c r="F2" s="67" t="s">
        <v>2</v>
      </c>
      <c r="G2" s="67" t="s">
        <v>27</v>
      </c>
      <c r="H2" s="60" t="s">
        <v>86</v>
      </c>
      <c r="I2" s="60" t="s">
        <v>87</v>
      </c>
      <c r="J2" s="60" t="s">
        <v>0</v>
      </c>
      <c r="K2" s="67" t="s">
        <v>115</v>
      </c>
      <c r="L2" s="64"/>
      <c r="M2" s="102" t="s">
        <v>2</v>
      </c>
      <c r="N2" s="103" t="s">
        <v>27</v>
      </c>
      <c r="O2" s="103" t="s">
        <v>146</v>
      </c>
      <c r="P2" s="103" t="s">
        <v>87</v>
      </c>
      <c r="Q2" s="94" t="s">
        <v>0</v>
      </c>
      <c r="R2" s="103" t="s">
        <v>115</v>
      </c>
      <c r="T2" s="35"/>
      <c r="U2" s="35"/>
    </row>
    <row r="3" spans="1:21" ht="42" customHeight="1" x14ac:dyDescent="0.35">
      <c r="A3" s="60" t="s">
        <v>2</v>
      </c>
      <c r="B3" s="97" t="s">
        <v>27</v>
      </c>
      <c r="C3" s="99" t="s">
        <v>0</v>
      </c>
      <c r="D3" s="60" t="s">
        <v>115</v>
      </c>
      <c r="E3" s="93"/>
      <c r="F3" s="62">
        <v>1</v>
      </c>
      <c r="G3" s="39" t="s">
        <v>249</v>
      </c>
      <c r="H3" s="33">
        <v>63</v>
      </c>
      <c r="I3" s="33">
        <v>500</v>
      </c>
      <c r="J3" s="222">
        <f t="shared" ref="J3" si="0">PRODUCT(H3:I3)</f>
        <v>31500</v>
      </c>
      <c r="K3" s="34" t="s">
        <v>251</v>
      </c>
      <c r="M3" s="62">
        <v>1</v>
      </c>
      <c r="N3" s="49" t="s">
        <v>147</v>
      </c>
      <c r="O3" s="31">
        <v>310</v>
      </c>
      <c r="P3" s="88">
        <v>60</v>
      </c>
      <c r="Q3" s="32">
        <f t="shared" ref="Q3" si="1">PRODUCT(O3:P3)</f>
        <v>18600</v>
      </c>
      <c r="R3" s="31" t="s">
        <v>153</v>
      </c>
      <c r="T3" s="35"/>
      <c r="U3" s="35"/>
    </row>
    <row r="4" spans="1:21" ht="32.4" customHeight="1" x14ac:dyDescent="0.35">
      <c r="A4" s="95">
        <v>1</v>
      </c>
      <c r="B4" s="39" t="s">
        <v>300</v>
      </c>
      <c r="C4" s="221">
        <v>21000</v>
      </c>
      <c r="D4" s="34" t="s">
        <v>328</v>
      </c>
      <c r="E4" s="93"/>
      <c r="F4" s="62">
        <v>2</v>
      </c>
      <c r="G4" s="39" t="s">
        <v>298</v>
      </c>
      <c r="H4" s="33">
        <v>17</v>
      </c>
      <c r="I4" s="33">
        <v>500</v>
      </c>
      <c r="J4" s="222">
        <f t="shared" ref="J4:J18" si="2">PRODUCT(H4:I4)</f>
        <v>8500</v>
      </c>
      <c r="K4" s="31" t="s">
        <v>480</v>
      </c>
      <c r="L4" s="42"/>
      <c r="M4" s="62">
        <v>2</v>
      </c>
      <c r="N4" s="49" t="s">
        <v>428</v>
      </c>
      <c r="O4" s="31">
        <v>911</v>
      </c>
      <c r="P4" s="88">
        <v>60</v>
      </c>
      <c r="Q4" s="32">
        <f t="shared" ref="Q4:Q10" si="3">PRODUCT(O4:P4)</f>
        <v>54660</v>
      </c>
      <c r="R4" s="31" t="s">
        <v>484</v>
      </c>
    </row>
    <row r="5" spans="1:21" ht="35.1" customHeight="1" x14ac:dyDescent="0.35">
      <c r="A5" s="95">
        <v>2</v>
      </c>
      <c r="B5" s="39" t="s">
        <v>391</v>
      </c>
      <c r="C5" s="221">
        <v>36000</v>
      </c>
      <c r="D5" s="34" t="s">
        <v>477</v>
      </c>
      <c r="E5" s="247"/>
      <c r="F5" s="62">
        <v>3</v>
      </c>
      <c r="G5" s="39" t="s">
        <v>92</v>
      </c>
      <c r="H5" s="33">
        <v>35</v>
      </c>
      <c r="I5" s="33">
        <v>500</v>
      </c>
      <c r="J5" s="222">
        <f t="shared" si="2"/>
        <v>17500</v>
      </c>
      <c r="K5" s="31" t="s">
        <v>97</v>
      </c>
      <c r="M5" s="62">
        <v>3</v>
      </c>
      <c r="N5" s="49" t="s">
        <v>144</v>
      </c>
      <c r="O5" s="31">
        <v>1737</v>
      </c>
      <c r="P5" s="88">
        <v>60</v>
      </c>
      <c r="Q5" s="32">
        <f t="shared" si="3"/>
        <v>104220</v>
      </c>
      <c r="R5" s="31" t="s">
        <v>266</v>
      </c>
    </row>
    <row r="6" spans="1:21" ht="39.75" customHeight="1" x14ac:dyDescent="0.35">
      <c r="A6" s="95">
        <v>3</v>
      </c>
      <c r="B6" s="39" t="s">
        <v>296</v>
      </c>
      <c r="C6" s="221">
        <v>27000</v>
      </c>
      <c r="D6" s="31" t="s">
        <v>329</v>
      </c>
      <c r="E6" s="93"/>
      <c r="F6" s="62">
        <v>4</v>
      </c>
      <c r="G6" s="41" t="s">
        <v>89</v>
      </c>
      <c r="H6" s="33">
        <v>48</v>
      </c>
      <c r="I6" s="33">
        <v>500</v>
      </c>
      <c r="J6" s="222">
        <f t="shared" si="2"/>
        <v>24000</v>
      </c>
      <c r="K6" s="31" t="s">
        <v>94</v>
      </c>
      <c r="M6" s="62">
        <v>4</v>
      </c>
      <c r="N6" s="49" t="s">
        <v>143</v>
      </c>
      <c r="O6" s="31">
        <v>1887</v>
      </c>
      <c r="P6" s="88">
        <v>60</v>
      </c>
      <c r="Q6" s="32">
        <f t="shared" si="3"/>
        <v>113220</v>
      </c>
      <c r="R6" s="31" t="s">
        <v>151</v>
      </c>
    </row>
    <row r="7" spans="1:21" ht="39.75" customHeight="1" x14ac:dyDescent="0.35">
      <c r="A7" s="95">
        <v>4</v>
      </c>
      <c r="B7" s="39" t="s">
        <v>337</v>
      </c>
      <c r="C7" s="221">
        <v>21000</v>
      </c>
      <c r="D7" s="34" t="s">
        <v>475</v>
      </c>
      <c r="E7" s="93"/>
      <c r="F7" s="62">
        <v>5</v>
      </c>
      <c r="G7" s="40" t="s">
        <v>387</v>
      </c>
      <c r="H7" s="33">
        <v>25</v>
      </c>
      <c r="I7" s="33">
        <v>500</v>
      </c>
      <c r="J7" s="222">
        <f t="shared" si="2"/>
        <v>12500</v>
      </c>
      <c r="K7" s="31" t="s">
        <v>415</v>
      </c>
      <c r="M7" s="62">
        <v>5</v>
      </c>
      <c r="N7" s="49" t="s">
        <v>221</v>
      </c>
      <c r="O7" s="31">
        <v>580</v>
      </c>
      <c r="P7" s="88">
        <v>60</v>
      </c>
      <c r="Q7" s="32">
        <f t="shared" si="3"/>
        <v>34800</v>
      </c>
      <c r="R7" s="31" t="s">
        <v>208</v>
      </c>
    </row>
    <row r="8" spans="1:21" ht="37.5" customHeight="1" x14ac:dyDescent="0.35">
      <c r="A8" s="95">
        <v>5</v>
      </c>
      <c r="B8" s="39" t="s">
        <v>264</v>
      </c>
      <c r="C8" s="221">
        <v>40500</v>
      </c>
      <c r="D8" s="30" t="s">
        <v>140</v>
      </c>
      <c r="E8" s="93"/>
      <c r="F8" s="62">
        <v>6</v>
      </c>
      <c r="G8" s="39" t="s">
        <v>230</v>
      </c>
      <c r="H8" s="33">
        <v>18</v>
      </c>
      <c r="I8" s="33">
        <v>500</v>
      </c>
      <c r="J8" s="222">
        <f t="shared" si="2"/>
        <v>9000</v>
      </c>
      <c r="K8" s="34" t="s">
        <v>481</v>
      </c>
      <c r="M8" s="62">
        <v>6</v>
      </c>
      <c r="N8" s="49" t="s">
        <v>257</v>
      </c>
      <c r="O8" s="31">
        <v>80</v>
      </c>
      <c r="P8" s="88">
        <v>60</v>
      </c>
      <c r="Q8" s="32">
        <f t="shared" si="3"/>
        <v>4800</v>
      </c>
      <c r="R8" s="31" t="s">
        <v>150</v>
      </c>
    </row>
    <row r="9" spans="1:21" ht="28.5" customHeight="1" x14ac:dyDescent="0.35">
      <c r="A9" s="95">
        <v>6</v>
      </c>
      <c r="B9" s="39" t="s">
        <v>220</v>
      </c>
      <c r="C9" s="221">
        <v>16500</v>
      </c>
      <c r="D9" s="34" t="s">
        <v>243</v>
      </c>
      <c r="E9" s="93"/>
      <c r="F9" s="62">
        <v>7</v>
      </c>
      <c r="G9" s="40" t="s">
        <v>388</v>
      </c>
      <c r="H9" s="33">
        <v>42</v>
      </c>
      <c r="I9" s="33">
        <v>500</v>
      </c>
      <c r="J9" s="222">
        <f t="shared" si="2"/>
        <v>21000</v>
      </c>
      <c r="K9" s="31" t="s">
        <v>479</v>
      </c>
      <c r="M9" s="62">
        <v>7</v>
      </c>
      <c r="N9" s="49" t="s">
        <v>222</v>
      </c>
      <c r="O9" s="31">
        <v>1817</v>
      </c>
      <c r="P9" s="88">
        <v>60</v>
      </c>
      <c r="Q9" s="32">
        <f t="shared" si="3"/>
        <v>109020</v>
      </c>
      <c r="R9" s="31" t="s">
        <v>242</v>
      </c>
    </row>
    <row r="10" spans="1:21" ht="36" customHeight="1" x14ac:dyDescent="0.35">
      <c r="A10" s="95">
        <v>7</v>
      </c>
      <c r="B10" s="39" t="s">
        <v>390</v>
      </c>
      <c r="C10" s="221">
        <v>34500</v>
      </c>
      <c r="D10" s="34" t="s">
        <v>206</v>
      </c>
      <c r="E10" s="93"/>
      <c r="F10" s="62">
        <v>8</v>
      </c>
      <c r="G10" s="39" t="s">
        <v>90</v>
      </c>
      <c r="H10" s="33">
        <v>14</v>
      </c>
      <c r="I10" s="33">
        <v>500</v>
      </c>
      <c r="J10" s="222">
        <f t="shared" si="2"/>
        <v>7000</v>
      </c>
      <c r="K10" s="31" t="s">
        <v>95</v>
      </c>
      <c r="M10" s="62">
        <v>8</v>
      </c>
      <c r="N10" s="49" t="s">
        <v>427</v>
      </c>
      <c r="O10" s="31">
        <v>187</v>
      </c>
      <c r="P10" s="88">
        <v>60</v>
      </c>
      <c r="Q10" s="32">
        <f t="shared" si="3"/>
        <v>11220</v>
      </c>
      <c r="R10" s="31" t="s">
        <v>152</v>
      </c>
    </row>
    <row r="11" spans="1:21" ht="38.25" customHeight="1" x14ac:dyDescent="0.35">
      <c r="A11" s="95">
        <v>8</v>
      </c>
      <c r="B11" s="204" t="s">
        <v>392</v>
      </c>
      <c r="C11" s="221">
        <v>3000</v>
      </c>
      <c r="D11" s="34" t="s">
        <v>476</v>
      </c>
      <c r="E11" s="93"/>
      <c r="F11" s="62">
        <v>9</v>
      </c>
      <c r="G11" s="39" t="s">
        <v>297</v>
      </c>
      <c r="H11" s="33">
        <v>9</v>
      </c>
      <c r="I11" s="33">
        <v>500</v>
      </c>
      <c r="J11" s="222">
        <f t="shared" si="2"/>
        <v>4500</v>
      </c>
      <c r="K11" s="31" t="s">
        <v>330</v>
      </c>
      <c r="O11" s="284">
        <f>SUM(O3:O10)</f>
        <v>7509</v>
      </c>
      <c r="P11" s="100"/>
      <c r="Q11" s="100">
        <f>SUM(Q3:Q10)</f>
        <v>450540</v>
      </c>
    </row>
    <row r="12" spans="1:21" ht="32.25" customHeight="1" x14ac:dyDescent="0.35">
      <c r="A12" s="95">
        <v>9</v>
      </c>
      <c r="B12" s="39" t="s">
        <v>295</v>
      </c>
      <c r="C12" s="221">
        <v>13500</v>
      </c>
      <c r="D12" s="34" t="s">
        <v>299</v>
      </c>
      <c r="E12" s="93"/>
      <c r="F12" s="62">
        <v>10</v>
      </c>
      <c r="G12" s="39" t="s">
        <v>385</v>
      </c>
      <c r="H12" s="33">
        <v>3</v>
      </c>
      <c r="I12" s="33">
        <v>500</v>
      </c>
      <c r="J12" s="222">
        <f t="shared" si="2"/>
        <v>1500</v>
      </c>
      <c r="K12" s="31" t="s">
        <v>414</v>
      </c>
      <c r="T12" s="35"/>
      <c r="U12" s="35"/>
    </row>
    <row r="13" spans="1:21" ht="28.5" customHeight="1" x14ac:dyDescent="0.35">
      <c r="A13" s="95">
        <v>10</v>
      </c>
      <c r="B13" s="204" t="s">
        <v>139</v>
      </c>
      <c r="C13" s="221">
        <v>40500</v>
      </c>
      <c r="D13" s="34" t="s">
        <v>288</v>
      </c>
      <c r="E13" s="93"/>
      <c r="F13" s="62">
        <v>11</v>
      </c>
      <c r="G13" s="39" t="s">
        <v>289</v>
      </c>
      <c r="H13" s="33">
        <v>10</v>
      </c>
      <c r="I13" s="33">
        <v>500</v>
      </c>
      <c r="J13" s="222">
        <f t="shared" si="2"/>
        <v>5000</v>
      </c>
      <c r="K13" s="30" t="s">
        <v>338</v>
      </c>
      <c r="T13" s="35"/>
      <c r="U13" s="35"/>
    </row>
    <row r="14" spans="1:21" ht="29.25" customHeight="1" x14ac:dyDescent="0.35">
      <c r="A14" s="95">
        <v>11</v>
      </c>
      <c r="B14" s="80" t="s">
        <v>45</v>
      </c>
      <c r="C14" s="221">
        <v>36000</v>
      </c>
      <c r="D14" s="34" t="s">
        <v>7</v>
      </c>
      <c r="E14" s="93"/>
      <c r="F14" s="62">
        <v>12</v>
      </c>
      <c r="G14" s="39" t="s">
        <v>482</v>
      </c>
      <c r="H14" s="33">
        <v>3</v>
      </c>
      <c r="I14" s="33">
        <v>500</v>
      </c>
      <c r="J14" s="222">
        <f t="shared" si="2"/>
        <v>1500</v>
      </c>
      <c r="K14" s="31" t="s">
        <v>483</v>
      </c>
      <c r="T14" s="35"/>
      <c r="U14" s="35"/>
    </row>
    <row r="15" spans="1:21" ht="26.25" customHeight="1" x14ac:dyDescent="0.35">
      <c r="A15" s="95">
        <v>12</v>
      </c>
      <c r="B15" s="39" t="s">
        <v>294</v>
      </c>
      <c r="C15" s="221">
        <v>34500</v>
      </c>
      <c r="D15" s="34" t="s">
        <v>327</v>
      </c>
      <c r="E15" s="93"/>
      <c r="F15" s="62">
        <v>13</v>
      </c>
      <c r="G15" s="39" t="s">
        <v>386</v>
      </c>
      <c r="H15" s="33">
        <v>35</v>
      </c>
      <c r="I15" s="33">
        <v>500</v>
      </c>
      <c r="J15" s="222">
        <f t="shared" si="2"/>
        <v>17500</v>
      </c>
      <c r="K15" s="30" t="s">
        <v>478</v>
      </c>
      <c r="L15" s="35" t="s">
        <v>432</v>
      </c>
      <c r="P15" s="42"/>
      <c r="R15" s="35"/>
      <c r="T15" s="35"/>
      <c r="U15" s="35"/>
    </row>
    <row r="16" spans="1:21" ht="25.5" customHeight="1" x14ac:dyDescent="0.35">
      <c r="A16" s="95">
        <v>13</v>
      </c>
      <c r="B16" s="39" t="s">
        <v>168</v>
      </c>
      <c r="C16" s="221">
        <v>33000</v>
      </c>
      <c r="D16" s="30" t="s">
        <v>172</v>
      </c>
      <c r="E16" s="93"/>
      <c r="F16" s="62">
        <v>14</v>
      </c>
      <c r="G16" s="39" t="s">
        <v>93</v>
      </c>
      <c r="H16" s="33">
        <v>40</v>
      </c>
      <c r="I16" s="33">
        <v>500</v>
      </c>
      <c r="J16" s="222">
        <f t="shared" si="2"/>
        <v>20000</v>
      </c>
      <c r="K16" s="31" t="s">
        <v>98</v>
      </c>
      <c r="T16" s="35"/>
      <c r="U16" s="35"/>
    </row>
    <row r="17" spans="1:21" ht="25.5" customHeight="1" x14ac:dyDescent="0.35">
      <c r="A17" s="95">
        <v>14</v>
      </c>
      <c r="B17" s="80" t="s">
        <v>46</v>
      </c>
      <c r="C17" s="221">
        <v>85500</v>
      </c>
      <c r="D17" s="34" t="s">
        <v>171</v>
      </c>
      <c r="E17" s="93"/>
      <c r="F17" s="62"/>
      <c r="G17" s="39" t="s">
        <v>91</v>
      </c>
      <c r="H17" s="33">
        <v>36</v>
      </c>
      <c r="I17" s="33">
        <v>500</v>
      </c>
      <c r="J17" s="222">
        <f t="shared" si="2"/>
        <v>18000</v>
      </c>
      <c r="K17" s="31" t="s">
        <v>96</v>
      </c>
      <c r="T17" s="35"/>
      <c r="U17" s="35"/>
    </row>
    <row r="18" spans="1:21" ht="25.5" customHeight="1" x14ac:dyDescent="0.35">
      <c r="A18" s="95">
        <v>15</v>
      </c>
      <c r="B18" s="39" t="s">
        <v>88</v>
      </c>
      <c r="C18" s="221">
        <v>18000</v>
      </c>
      <c r="D18" s="34" t="s">
        <v>202</v>
      </c>
      <c r="E18" s="93"/>
      <c r="F18" s="62">
        <v>15</v>
      </c>
      <c r="G18" s="40" t="s">
        <v>389</v>
      </c>
      <c r="H18" s="33">
        <v>38</v>
      </c>
      <c r="I18" s="33">
        <v>500</v>
      </c>
      <c r="J18" s="222">
        <f t="shared" si="2"/>
        <v>19000</v>
      </c>
      <c r="K18" s="31" t="s">
        <v>416</v>
      </c>
      <c r="T18" s="35"/>
      <c r="U18" s="35"/>
    </row>
    <row r="19" spans="1:21" ht="26.25" customHeight="1" x14ac:dyDescent="0.35">
      <c r="A19" s="95">
        <v>16</v>
      </c>
      <c r="B19" s="80" t="s">
        <v>265</v>
      </c>
      <c r="C19" s="221">
        <v>39000</v>
      </c>
      <c r="D19" s="34" t="s">
        <v>31</v>
      </c>
      <c r="E19" s="93"/>
      <c r="F19" s="109"/>
      <c r="G19" s="104" t="s">
        <v>1</v>
      </c>
      <c r="H19" s="104">
        <f>SUM(H3:H18)</f>
        <v>436</v>
      </c>
      <c r="I19" s="104"/>
      <c r="J19" s="180">
        <f>SUM(J3:J18)</f>
        <v>218000</v>
      </c>
      <c r="T19" s="35"/>
      <c r="U19" s="35"/>
    </row>
    <row r="20" spans="1:21" ht="26.25" customHeight="1" x14ac:dyDescent="0.35">
      <c r="A20" s="95">
        <v>17</v>
      </c>
      <c r="B20" s="39" t="s">
        <v>201</v>
      </c>
      <c r="C20" s="221">
        <v>36000</v>
      </c>
      <c r="D20" s="34" t="s">
        <v>207</v>
      </c>
      <c r="E20" s="93"/>
      <c r="F20" s="109"/>
      <c r="G20" s="104"/>
      <c r="H20" s="104"/>
      <c r="I20" s="105"/>
      <c r="J20" s="106"/>
      <c r="T20" s="35"/>
      <c r="U20" s="35"/>
    </row>
    <row r="21" spans="1:21" ht="21.75" customHeight="1" thickBot="1" x14ac:dyDescent="0.4">
      <c r="C21" s="143">
        <f>SUM(C4:C20)</f>
        <v>535500</v>
      </c>
      <c r="E21" s="93"/>
      <c r="F21" s="109"/>
      <c r="T21" s="35"/>
      <c r="U21" s="35"/>
    </row>
    <row r="22" spans="1:21" x14ac:dyDescent="0.35">
      <c r="E22" s="93"/>
      <c r="F22" s="109"/>
      <c r="I22" s="63"/>
      <c r="T22" s="35"/>
      <c r="U22" s="35"/>
    </row>
    <row r="23" spans="1:21" ht="20.100000000000001" customHeight="1" x14ac:dyDescent="0.35">
      <c r="E23" s="93"/>
      <c r="F23" s="109"/>
      <c r="I23" s="63"/>
      <c r="J23" s="63">
        <f t="shared" ref="J23:J25" si="4">I23*6.75</f>
        <v>0</v>
      </c>
      <c r="T23" s="35"/>
      <c r="U23" s="35"/>
    </row>
    <row r="24" spans="1:21" ht="20.100000000000001" customHeight="1" x14ac:dyDescent="0.35">
      <c r="E24" s="93"/>
      <c r="F24" s="109"/>
      <c r="H24" s="63" t="s">
        <v>418</v>
      </c>
      <c r="I24" s="63">
        <v>7</v>
      </c>
      <c r="J24" s="63">
        <f>I24*6.75</f>
        <v>47.25</v>
      </c>
      <c r="T24" s="35"/>
      <c r="U24" s="35"/>
    </row>
    <row r="25" spans="1:21" x14ac:dyDescent="0.35">
      <c r="E25" s="43"/>
      <c r="F25" s="109"/>
      <c r="H25" s="63" t="s">
        <v>419</v>
      </c>
      <c r="I25" s="63">
        <v>21</v>
      </c>
      <c r="J25" s="63">
        <f t="shared" si="4"/>
        <v>141.75</v>
      </c>
      <c r="T25" s="35"/>
      <c r="U25" s="35"/>
    </row>
    <row r="26" spans="1:21" x14ac:dyDescent="0.35">
      <c r="E26" s="43"/>
      <c r="F26" s="109"/>
      <c r="H26" s="63" t="s">
        <v>420</v>
      </c>
      <c r="I26" s="63">
        <v>26</v>
      </c>
      <c r="J26" s="63">
        <f>I26*6.75</f>
        <v>175.5</v>
      </c>
      <c r="T26" s="35"/>
      <c r="U26" s="35"/>
    </row>
    <row r="27" spans="1:21" ht="21.6" customHeight="1" x14ac:dyDescent="0.35">
      <c r="E27" s="43"/>
      <c r="G27" s="42"/>
      <c r="H27" s="63" t="s">
        <v>421</v>
      </c>
      <c r="I27" s="63">
        <v>10.66</v>
      </c>
      <c r="J27" s="63">
        <f>I27*6.75</f>
        <v>71.954999999999998</v>
      </c>
      <c r="T27" s="35"/>
      <c r="U27" s="35"/>
    </row>
    <row r="28" spans="1:21" ht="22.5" customHeight="1" x14ac:dyDescent="0.35">
      <c r="E28" s="43"/>
      <c r="I28" s="63"/>
      <c r="J28" s="63">
        <f t="shared" ref="J28:J30" si="5">I28*6.75</f>
        <v>0</v>
      </c>
      <c r="T28" s="35"/>
      <c r="U28" s="35"/>
    </row>
    <row r="29" spans="1:21" x14ac:dyDescent="0.35">
      <c r="C29" s="157">
        <f>SUM(C21,J19,Q11)</f>
        <v>1204040</v>
      </c>
      <c r="E29" s="43"/>
      <c r="I29" s="63"/>
      <c r="J29" s="63">
        <f t="shared" si="5"/>
        <v>0</v>
      </c>
      <c r="T29" s="35"/>
      <c r="U29" s="35"/>
    </row>
    <row r="30" spans="1:21" x14ac:dyDescent="0.35">
      <c r="E30" s="43"/>
      <c r="I30" s="63"/>
      <c r="J30" s="63">
        <f t="shared" si="5"/>
        <v>0</v>
      </c>
    </row>
    <row r="31" spans="1:21" x14ac:dyDescent="0.35">
      <c r="E31" s="43"/>
      <c r="I31" s="63"/>
      <c r="J31" s="63">
        <f>I31*6.75</f>
        <v>0</v>
      </c>
    </row>
    <row r="32" spans="1:21" x14ac:dyDescent="0.35">
      <c r="E32" s="43"/>
      <c r="H32" s="35"/>
      <c r="I32" s="223">
        <f>SUM(I23:I31)</f>
        <v>64.66</v>
      </c>
      <c r="J32" s="223">
        <f>SUM(J23:J31)</f>
        <v>436.45499999999998</v>
      </c>
    </row>
    <row r="33" spans="2:21" x14ac:dyDescent="0.35">
      <c r="E33" s="43"/>
    </row>
    <row r="34" spans="2:21" x14ac:dyDescent="0.35">
      <c r="E34" s="43"/>
    </row>
    <row r="35" spans="2:21" x14ac:dyDescent="0.35">
      <c r="E35" s="43"/>
    </row>
    <row r="36" spans="2:21" x14ac:dyDescent="0.35">
      <c r="E36" s="43"/>
      <c r="R36" s="35"/>
    </row>
    <row r="37" spans="2:21" x14ac:dyDescent="0.35">
      <c r="E37" s="43"/>
      <c r="R37" s="35"/>
    </row>
    <row r="38" spans="2:21" x14ac:dyDescent="0.35">
      <c r="E38" s="43"/>
      <c r="G38" s="109"/>
      <c r="I38" s="63"/>
      <c r="J38" s="63"/>
    </row>
    <row r="39" spans="2:21" x14ac:dyDescent="0.35">
      <c r="E39" s="43"/>
      <c r="H39" s="109"/>
      <c r="I39" s="63"/>
      <c r="J39" s="63"/>
      <c r="K39" s="35"/>
      <c r="S39" s="42"/>
      <c r="T39" s="35"/>
      <c r="U39" s="35"/>
    </row>
    <row r="40" spans="2:21" x14ac:dyDescent="0.35">
      <c r="B40" s="107"/>
      <c r="E40" s="43"/>
      <c r="H40" s="109"/>
      <c r="K40" s="35"/>
      <c r="T40" s="35"/>
      <c r="U40" s="35"/>
    </row>
    <row r="41" spans="2:21" x14ac:dyDescent="0.35">
      <c r="E41" s="43"/>
      <c r="T41" s="35"/>
      <c r="U41" s="35"/>
    </row>
    <row r="42" spans="2:21" x14ac:dyDescent="0.35">
      <c r="E42" s="43"/>
    </row>
    <row r="43" spans="2:21" x14ac:dyDescent="0.35">
      <c r="B43" s="35"/>
    </row>
    <row r="44" spans="2:21" x14ac:dyDescent="0.35">
      <c r="B44" s="35"/>
    </row>
    <row r="45" spans="2:21" x14ac:dyDescent="0.35">
      <c r="G45" s="42"/>
    </row>
    <row r="46" spans="2:21" x14ac:dyDescent="0.35">
      <c r="G46" s="42"/>
    </row>
    <row r="61" spans="20:21" x14ac:dyDescent="0.35">
      <c r="T61" s="35"/>
      <c r="U61" s="35"/>
    </row>
    <row r="62" spans="20:21" x14ac:dyDescent="0.35">
      <c r="T62" s="35"/>
      <c r="U62" s="35"/>
    </row>
    <row r="63" spans="20:21" x14ac:dyDescent="0.35">
      <c r="T63" s="35"/>
      <c r="U63" s="35"/>
    </row>
    <row r="64" spans="20:21" x14ac:dyDescent="0.35">
      <c r="T64" s="35"/>
      <c r="U64" s="35"/>
    </row>
    <row r="86" spans="4:4" x14ac:dyDescent="0.35">
      <c r="D86" s="157" t="e">
        <f>SUM(C21,J19,#REF!)</f>
        <v>#REF!</v>
      </c>
    </row>
    <row r="100" spans="3:3" x14ac:dyDescent="0.35">
      <c r="C100" s="108"/>
    </row>
    <row r="103" spans="3:3" x14ac:dyDescent="0.35">
      <c r="C103" s="35"/>
    </row>
    <row r="104" spans="3:3" x14ac:dyDescent="0.35">
      <c r="C104" s="35"/>
    </row>
  </sheetData>
  <sortState xmlns:xlrd2="http://schemas.microsoft.com/office/spreadsheetml/2017/richdata2" ref="N4:R10">
    <sortCondition ref="R4:R10"/>
  </sortState>
  <mergeCells count="3">
    <mergeCell ref="G1:J1"/>
    <mergeCell ref="A1:D1"/>
    <mergeCell ref="N1:Q1"/>
  </mergeCells>
  <conditionalFormatting sqref="I31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{EF8E4CA6-DB41-4B91-BDA1-FFE29E3A259E}</x14:id>
        </ext>
      </extLst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3:J31"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{91BBA9DA-2A3D-4B48-9922-4072C8AB1A87}</x14:id>
        </ext>
      </extLst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40" fitToHeight="0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8E4CA6-DB41-4B91-BDA1-FFE29E3A259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I31</xm:sqref>
        </x14:conditionalFormatting>
        <x14:conditionalFormatting xmlns:xm="http://schemas.microsoft.com/office/excel/2006/main">
          <x14:cfRule type="dataBar" id="{91BBA9DA-2A3D-4B48-9922-4072C8AB1A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J23:J31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>
    <tabColor theme="3" tint="0.39997558519241921"/>
    <pageSetUpPr fitToPage="1"/>
  </sheetPr>
  <dimension ref="A1:J24"/>
  <sheetViews>
    <sheetView zoomScale="85" zoomScaleNormal="85" workbookViewId="0">
      <selection activeCell="C3" sqref="C3"/>
    </sheetView>
  </sheetViews>
  <sheetFormatPr baseColWidth="10" defaultColWidth="33.44140625" defaultRowHeight="18" x14ac:dyDescent="0.35"/>
  <cols>
    <col min="1" max="1" width="6.33203125" style="35" customWidth="1"/>
    <col min="2" max="2" width="24" style="43" customWidth="1"/>
    <col min="3" max="3" width="17.33203125" style="83" customWidth="1"/>
    <col min="4" max="4" width="28" style="35" customWidth="1"/>
    <col min="5" max="5" width="20.6640625" style="35" customWidth="1"/>
    <col min="6" max="6" width="21.77734375" style="35" customWidth="1"/>
    <col min="7" max="16384" width="33.44140625" style="35"/>
  </cols>
  <sheetData>
    <row r="1" spans="1:10" ht="20.25" customHeight="1" x14ac:dyDescent="0.35">
      <c r="A1" s="334" t="s">
        <v>365</v>
      </c>
      <c r="B1" s="334"/>
      <c r="C1" s="334"/>
      <c r="D1" s="334"/>
    </row>
    <row r="2" spans="1:10" ht="45" customHeight="1" x14ac:dyDescent="0.35">
      <c r="A2" s="158" t="s">
        <v>2</v>
      </c>
      <c r="B2" s="192" t="s">
        <v>27</v>
      </c>
      <c r="C2" s="159" t="s">
        <v>0</v>
      </c>
      <c r="D2" s="158" t="s">
        <v>115</v>
      </c>
    </row>
    <row r="3" spans="1:10" ht="32.1" customHeight="1" x14ac:dyDescent="0.35">
      <c r="A3" s="62">
        <v>1</v>
      </c>
      <c r="B3" s="40" t="s">
        <v>85</v>
      </c>
      <c r="C3" s="144">
        <v>45000</v>
      </c>
      <c r="D3" s="188" t="s">
        <v>67</v>
      </c>
    </row>
    <row r="4" spans="1:10" ht="30" customHeight="1" x14ac:dyDescent="0.35">
      <c r="A4" s="62">
        <v>2</v>
      </c>
      <c r="B4" s="40" t="s">
        <v>324</v>
      </c>
      <c r="C4" s="144">
        <v>36290</v>
      </c>
      <c r="D4" s="228" t="s">
        <v>325</v>
      </c>
    </row>
    <row r="5" spans="1:10" ht="30" customHeight="1" x14ac:dyDescent="0.35">
      <c r="A5" s="62">
        <v>3</v>
      </c>
      <c r="B5" s="40" t="s">
        <v>240</v>
      </c>
      <c r="C5" s="144">
        <v>8000</v>
      </c>
      <c r="D5" s="229" t="s">
        <v>237</v>
      </c>
    </row>
    <row r="6" spans="1:10" ht="35.25" customHeight="1" x14ac:dyDescent="0.35">
      <c r="A6" s="62">
        <v>4</v>
      </c>
      <c r="B6" s="190" t="s">
        <v>323</v>
      </c>
      <c r="C6" s="144">
        <v>45000</v>
      </c>
      <c r="D6" s="215" t="s">
        <v>209</v>
      </c>
    </row>
    <row r="7" spans="1:10" ht="33" customHeight="1" x14ac:dyDescent="0.35">
      <c r="A7" s="62">
        <v>5</v>
      </c>
      <c r="B7" s="190" t="s">
        <v>30</v>
      </c>
      <c r="C7" s="144">
        <v>45000</v>
      </c>
      <c r="D7" s="229" t="s">
        <v>9</v>
      </c>
    </row>
    <row r="8" spans="1:10" ht="27" customHeight="1" thickBot="1" x14ac:dyDescent="0.4">
      <c r="A8" s="62">
        <v>6</v>
      </c>
      <c r="B8" s="40" t="s">
        <v>170</v>
      </c>
      <c r="C8" s="144">
        <v>45000</v>
      </c>
      <c r="D8" s="227" t="s">
        <v>169</v>
      </c>
      <c r="F8" s="61"/>
    </row>
    <row r="9" spans="1:10" x14ac:dyDescent="0.35">
      <c r="B9" s="70" t="s">
        <v>1</v>
      </c>
      <c r="C9" s="160">
        <f>SUM(C3:C8)</f>
        <v>224290</v>
      </c>
      <c r="F9" s="61"/>
      <c r="J9" s="61"/>
    </row>
    <row r="10" spans="1:10" x14ac:dyDescent="0.35">
      <c r="F10" s="61"/>
      <c r="J10" s="61"/>
    </row>
    <row r="11" spans="1:10" x14ac:dyDescent="0.35">
      <c r="F11" s="61"/>
      <c r="J11" s="61"/>
    </row>
    <row r="12" spans="1:10" x14ac:dyDescent="0.35">
      <c r="F12" s="61"/>
      <c r="J12" s="61"/>
    </row>
    <row r="13" spans="1:10" ht="39" customHeight="1" x14ac:dyDescent="0.35">
      <c r="A13" s="335" t="s">
        <v>366</v>
      </c>
      <c r="B13" s="335"/>
      <c r="C13" s="335"/>
      <c r="D13" s="335"/>
      <c r="E13" s="335"/>
      <c r="F13" s="335"/>
      <c r="J13" s="61"/>
    </row>
    <row r="14" spans="1:10" x14ac:dyDescent="0.35">
      <c r="A14" s="158" t="s">
        <v>2</v>
      </c>
      <c r="B14" s="193" t="s">
        <v>109</v>
      </c>
      <c r="C14" s="183" t="s">
        <v>174</v>
      </c>
      <c r="D14" s="183" t="s">
        <v>111</v>
      </c>
      <c r="E14" s="184" t="s">
        <v>112</v>
      </c>
      <c r="F14" s="183" t="s">
        <v>113</v>
      </c>
      <c r="J14" s="61"/>
    </row>
    <row r="15" spans="1:10" ht="19.2" x14ac:dyDescent="0.35">
      <c r="A15" s="185">
        <v>1</v>
      </c>
      <c r="B15" s="190" t="s">
        <v>241</v>
      </c>
      <c r="C15" s="31">
        <v>700</v>
      </c>
      <c r="D15" s="28">
        <v>100</v>
      </c>
      <c r="E15" s="28">
        <f>PRODUCT(C15:D15)</f>
        <v>70000</v>
      </c>
      <c r="F15" s="30" t="s">
        <v>237</v>
      </c>
      <c r="G15" s="42"/>
      <c r="J15" s="61"/>
    </row>
    <row r="16" spans="1:10" ht="19.2" x14ac:dyDescent="0.35">
      <c r="A16" s="185">
        <v>2</v>
      </c>
      <c r="B16" s="189" t="s">
        <v>235</v>
      </c>
      <c r="C16" s="31">
        <v>801.8</v>
      </c>
      <c r="D16" s="28">
        <v>100</v>
      </c>
      <c r="E16" s="28">
        <f>PRODUCT(C16:D16)</f>
        <v>80180</v>
      </c>
      <c r="F16" s="20" t="s">
        <v>234</v>
      </c>
      <c r="J16" s="61"/>
    </row>
    <row r="17" spans="1:6" ht="19.2" x14ac:dyDescent="0.35">
      <c r="A17" s="185">
        <v>3</v>
      </c>
      <c r="B17" s="189" t="s">
        <v>236</v>
      </c>
      <c r="C17" s="31">
        <v>1135.5</v>
      </c>
      <c r="D17" s="28">
        <v>100</v>
      </c>
      <c r="E17" s="28">
        <f>PRODUCT(C17:D17)</f>
        <v>113550</v>
      </c>
      <c r="F17" s="20" t="s">
        <v>237</v>
      </c>
    </row>
    <row r="18" spans="1:6" ht="19.2" x14ac:dyDescent="0.35">
      <c r="A18" s="185">
        <v>4</v>
      </c>
      <c r="B18" s="189" t="s">
        <v>238</v>
      </c>
      <c r="C18" s="31">
        <v>345</v>
      </c>
      <c r="D18" s="28">
        <v>100</v>
      </c>
      <c r="E18" s="28">
        <f>PRODUCT(C18:D18)</f>
        <v>34500</v>
      </c>
      <c r="F18" s="31" t="s">
        <v>459</v>
      </c>
    </row>
    <row r="19" spans="1:6" ht="19.2" x14ac:dyDescent="0.35">
      <c r="A19" s="185">
        <v>5</v>
      </c>
      <c r="B19" s="189" t="s">
        <v>239</v>
      </c>
      <c r="C19" s="31">
        <v>345</v>
      </c>
      <c r="D19" s="28">
        <v>100</v>
      </c>
      <c r="E19" s="28">
        <f>PRODUCT(C19:D19)</f>
        <v>34500</v>
      </c>
      <c r="F19" s="31" t="s">
        <v>459</v>
      </c>
    </row>
    <row r="20" spans="1:6" x14ac:dyDescent="0.35">
      <c r="B20" s="194"/>
      <c r="C20" s="226">
        <f>SUM(C15:C19)</f>
        <v>3327.3</v>
      </c>
      <c r="D20" s="181">
        <f>SUM(D15:D19)</f>
        <v>500</v>
      </c>
      <c r="E20" s="182">
        <f>SUM(E15:E19)</f>
        <v>332730</v>
      </c>
      <c r="F20" s="271"/>
    </row>
    <row r="21" spans="1:6" x14ac:dyDescent="0.35">
      <c r="B21" s="194"/>
      <c r="D21" s="83"/>
      <c r="E21" s="83"/>
    </row>
    <row r="22" spans="1:6" x14ac:dyDescent="0.35">
      <c r="D22" s="83"/>
      <c r="E22" s="83"/>
    </row>
    <row r="23" spans="1:6" x14ac:dyDescent="0.35">
      <c r="D23" s="83"/>
      <c r="E23" s="83"/>
    </row>
    <row r="24" spans="1:6" x14ac:dyDescent="0.35">
      <c r="D24" s="83"/>
      <c r="E24" s="83"/>
    </row>
  </sheetData>
  <sortState xmlns:xlrd2="http://schemas.microsoft.com/office/spreadsheetml/2017/richdata2" ref="B4:D8">
    <sortCondition ref="D4:D8"/>
  </sortState>
  <mergeCells count="2">
    <mergeCell ref="A1:D1"/>
    <mergeCell ref="A13:F13"/>
  </mergeCells>
  <phoneticPr fontId="17" type="noConversion"/>
  <pageMargins left="0.7" right="0.7" top="0.75" bottom="0.75" header="0.3" footer="0.3"/>
  <pageSetup paperSize="9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>
    <tabColor rgb="FF00B0F0"/>
    <pageSetUpPr fitToPage="1"/>
  </sheetPr>
  <dimension ref="A1:G22"/>
  <sheetViews>
    <sheetView topLeftCell="A17" zoomScale="85" zoomScaleNormal="85" workbookViewId="0">
      <selection activeCell="A3" sqref="A3"/>
    </sheetView>
  </sheetViews>
  <sheetFormatPr baseColWidth="10" defaultColWidth="11.33203125" defaultRowHeight="18" x14ac:dyDescent="0.35"/>
  <cols>
    <col min="1" max="1" width="36" style="35" customWidth="1"/>
    <col min="2" max="2" width="30.21875" style="35" customWidth="1"/>
    <col min="3" max="3" width="26.44140625" style="35" customWidth="1"/>
    <col min="4" max="4" width="35.21875" style="35" customWidth="1"/>
    <col min="5" max="6" width="11.33203125" style="35"/>
    <col min="7" max="7" width="19.33203125" style="35" customWidth="1"/>
    <col min="8" max="16384" width="11.33203125" style="35"/>
  </cols>
  <sheetData>
    <row r="1" spans="1:7" ht="36" customHeight="1" x14ac:dyDescent="0.35">
      <c r="A1" s="232" t="s">
        <v>36</v>
      </c>
      <c r="B1" s="232" t="s">
        <v>162</v>
      </c>
      <c r="C1" s="112" t="s">
        <v>0</v>
      </c>
      <c r="D1" s="111" t="s">
        <v>49</v>
      </c>
      <c r="E1" s="340" t="s">
        <v>128</v>
      </c>
      <c r="F1" s="341"/>
      <c r="G1" s="342"/>
    </row>
    <row r="2" spans="1:7" ht="36" customHeight="1" x14ac:dyDescent="0.35">
      <c r="A2" s="343" t="s">
        <v>492</v>
      </c>
      <c r="B2" s="344"/>
      <c r="C2" s="344"/>
      <c r="D2" s="344"/>
      <c r="E2" s="344"/>
      <c r="F2" s="344"/>
      <c r="G2" s="345"/>
    </row>
    <row r="3" spans="1:7" ht="37.5" customHeight="1" x14ac:dyDescent="0.35">
      <c r="A3" s="275" t="s">
        <v>498</v>
      </c>
      <c r="B3" s="275" t="s">
        <v>50</v>
      </c>
      <c r="C3" s="210">
        <v>100000</v>
      </c>
      <c r="D3" s="290" t="s">
        <v>37</v>
      </c>
      <c r="E3" s="35" t="s">
        <v>321</v>
      </c>
      <c r="G3" s="191"/>
    </row>
    <row r="4" spans="1:7" ht="19.5" customHeight="1" x14ac:dyDescent="0.35">
      <c r="A4" s="276" t="s">
        <v>499</v>
      </c>
      <c r="B4" s="276" t="s">
        <v>51</v>
      </c>
      <c r="C4" s="225">
        <v>100000</v>
      </c>
      <c r="D4" s="290" t="s">
        <v>38</v>
      </c>
      <c r="E4" s="35" t="s">
        <v>321</v>
      </c>
      <c r="G4" s="191"/>
    </row>
    <row r="5" spans="1:7" ht="19.5" customHeight="1" x14ac:dyDescent="0.35">
      <c r="A5" s="276" t="s">
        <v>344</v>
      </c>
      <c r="B5" s="276" t="s">
        <v>52</v>
      </c>
      <c r="C5" s="225">
        <v>100000</v>
      </c>
      <c r="D5" s="290" t="s">
        <v>39</v>
      </c>
      <c r="E5" s="35" t="s">
        <v>321</v>
      </c>
      <c r="G5" s="191"/>
    </row>
    <row r="6" spans="1:7" ht="19.5" customHeight="1" x14ac:dyDescent="0.35">
      <c r="A6" s="276" t="s">
        <v>345</v>
      </c>
      <c r="B6" s="276" t="s">
        <v>53</v>
      </c>
      <c r="C6" s="225">
        <v>100000</v>
      </c>
      <c r="D6" s="290" t="s">
        <v>40</v>
      </c>
      <c r="E6" s="35" t="s">
        <v>321</v>
      </c>
      <c r="G6" s="191"/>
    </row>
    <row r="7" spans="1:7" ht="19.5" customHeight="1" x14ac:dyDescent="0.35">
      <c r="A7" s="276" t="s">
        <v>346</v>
      </c>
      <c r="B7" s="276" t="s">
        <v>54</v>
      </c>
      <c r="C7" s="225">
        <v>60000</v>
      </c>
      <c r="D7" s="38" t="s">
        <v>493</v>
      </c>
      <c r="G7" s="191"/>
    </row>
    <row r="8" spans="1:7" ht="19.5" customHeight="1" x14ac:dyDescent="0.35">
      <c r="A8" s="276" t="s">
        <v>347</v>
      </c>
      <c r="B8" s="276" t="s">
        <v>50</v>
      </c>
      <c r="C8" s="225">
        <v>70000</v>
      </c>
      <c r="D8" s="37" t="s">
        <v>122</v>
      </c>
      <c r="G8" s="191"/>
    </row>
    <row r="9" spans="1:7" ht="19.5" customHeight="1" x14ac:dyDescent="0.35">
      <c r="A9" s="277" t="s">
        <v>353</v>
      </c>
      <c r="B9" s="277" t="s">
        <v>129</v>
      </c>
      <c r="C9" s="288">
        <v>20000</v>
      </c>
      <c r="D9" s="36" t="s">
        <v>39</v>
      </c>
      <c r="G9" s="191"/>
    </row>
    <row r="10" spans="1:7" ht="19.5" customHeight="1" x14ac:dyDescent="0.35">
      <c r="A10" s="277" t="s">
        <v>500</v>
      </c>
      <c r="B10" s="277" t="s">
        <v>130</v>
      </c>
      <c r="C10" s="288">
        <v>35000</v>
      </c>
      <c r="D10" s="114" t="s">
        <v>131</v>
      </c>
      <c r="G10" s="191"/>
    </row>
    <row r="11" spans="1:7" ht="19.5" customHeight="1" x14ac:dyDescent="0.35">
      <c r="A11" s="277" t="s">
        <v>501</v>
      </c>
      <c r="B11" s="277" t="s">
        <v>132</v>
      </c>
      <c r="C11" s="288">
        <v>10000</v>
      </c>
      <c r="D11" s="114" t="s">
        <v>133</v>
      </c>
      <c r="G11" s="191"/>
    </row>
    <row r="12" spans="1:7" ht="19.5" customHeight="1" x14ac:dyDescent="0.35">
      <c r="A12" s="277" t="s">
        <v>348</v>
      </c>
      <c r="B12" s="277" t="s">
        <v>134</v>
      </c>
      <c r="C12" s="288">
        <v>15000</v>
      </c>
      <c r="D12" s="114" t="s">
        <v>135</v>
      </c>
      <c r="G12" s="191"/>
    </row>
    <row r="13" spans="1:7" ht="19.5" customHeight="1" x14ac:dyDescent="0.35">
      <c r="A13" s="277" t="s">
        <v>502</v>
      </c>
      <c r="B13" s="277" t="s">
        <v>494</v>
      </c>
      <c r="C13" s="288">
        <v>40000</v>
      </c>
      <c r="D13" s="289" t="s">
        <v>495</v>
      </c>
      <c r="G13" s="191"/>
    </row>
    <row r="14" spans="1:7" ht="19.5" customHeight="1" x14ac:dyDescent="0.35">
      <c r="A14" s="277" t="s">
        <v>349</v>
      </c>
      <c r="B14" s="277" t="s">
        <v>136</v>
      </c>
      <c r="C14" s="288">
        <v>10000</v>
      </c>
      <c r="D14" s="114" t="s">
        <v>322</v>
      </c>
      <c r="G14" s="191"/>
    </row>
    <row r="15" spans="1:7" ht="19.5" customHeight="1" x14ac:dyDescent="0.35">
      <c r="A15" s="337" t="s">
        <v>55</v>
      </c>
      <c r="B15" s="338"/>
      <c r="C15" s="338"/>
      <c r="D15" s="338"/>
      <c r="E15" s="338"/>
      <c r="F15" s="338"/>
      <c r="G15" s="339"/>
    </row>
    <row r="16" spans="1:7" ht="19.5" customHeight="1" x14ac:dyDescent="0.35">
      <c r="A16" s="277" t="s">
        <v>350</v>
      </c>
      <c r="B16" s="277" t="s">
        <v>56</v>
      </c>
      <c r="C16" s="113">
        <v>45000</v>
      </c>
      <c r="D16" s="36" t="s">
        <v>57</v>
      </c>
      <c r="G16" s="191"/>
    </row>
    <row r="17" spans="1:7" ht="19.2" x14ac:dyDescent="0.35">
      <c r="A17" s="277" t="s">
        <v>351</v>
      </c>
      <c r="B17" s="277" t="s">
        <v>56</v>
      </c>
      <c r="C17" s="113">
        <v>45000</v>
      </c>
      <c r="D17" s="36" t="s">
        <v>58</v>
      </c>
      <c r="G17" s="191"/>
    </row>
    <row r="18" spans="1:7" ht="24" customHeight="1" x14ac:dyDescent="0.35">
      <c r="A18" s="277" t="s">
        <v>503</v>
      </c>
      <c r="B18" s="277" t="s">
        <v>59</v>
      </c>
      <c r="C18" s="113">
        <v>45000</v>
      </c>
      <c r="D18" s="36" t="s">
        <v>60</v>
      </c>
      <c r="G18" s="191"/>
    </row>
    <row r="19" spans="1:7" ht="19.5" customHeight="1" x14ac:dyDescent="0.35">
      <c r="A19" s="277" t="s">
        <v>504</v>
      </c>
      <c r="B19" s="277" t="s">
        <v>496</v>
      </c>
      <c r="C19" s="113">
        <v>70000</v>
      </c>
      <c r="D19" s="36" t="s">
        <v>497</v>
      </c>
      <c r="G19" s="191"/>
    </row>
    <row r="20" spans="1:7" ht="19.5" customHeight="1" x14ac:dyDescent="0.35">
      <c r="A20" s="277" t="s">
        <v>352</v>
      </c>
      <c r="B20" s="277" t="s">
        <v>59</v>
      </c>
      <c r="C20" s="113">
        <v>45000</v>
      </c>
      <c r="D20" s="38" t="s">
        <v>61</v>
      </c>
      <c r="G20" s="191"/>
    </row>
    <row r="21" spans="1:7" ht="19.5" customHeight="1" x14ac:dyDescent="0.4">
      <c r="A21" s="336" t="s">
        <v>1</v>
      </c>
      <c r="B21" s="336"/>
      <c r="C21" s="115">
        <f>SUM(C3:C20)</f>
        <v>910000</v>
      </c>
      <c r="D21" s="116"/>
      <c r="E21" s="117"/>
      <c r="F21" s="117"/>
      <c r="G21" s="117"/>
    </row>
    <row r="22" spans="1:7" ht="19.5" customHeight="1" x14ac:dyDescent="0.35"/>
  </sheetData>
  <mergeCells count="4">
    <mergeCell ref="A21:B21"/>
    <mergeCell ref="A15:G15"/>
    <mergeCell ref="E1:G1"/>
    <mergeCell ref="A2:G2"/>
  </mergeCells>
  <pageMargins left="0.7" right="0.7" top="0.75" bottom="0.75" header="0.3" footer="0.3"/>
  <pageSetup paperSize="9" scale="78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7">
    <tabColor theme="5" tint="-0.249977111117893"/>
  </sheetPr>
  <dimension ref="A2:E40"/>
  <sheetViews>
    <sheetView zoomScale="70" zoomScaleNormal="70" workbookViewId="0">
      <selection activeCell="H29" sqref="H29"/>
    </sheetView>
  </sheetViews>
  <sheetFormatPr baseColWidth="10" defaultRowHeight="18" x14ac:dyDescent="0.5"/>
  <cols>
    <col min="1" max="1" width="6.33203125" customWidth="1"/>
    <col min="2" max="2" width="43.44140625" customWidth="1"/>
    <col min="3" max="3" width="29.88671875" style="8" customWidth="1"/>
    <col min="4" max="4" width="39.77734375" customWidth="1"/>
  </cols>
  <sheetData>
    <row r="2" spans="1:4" ht="0.75" customHeight="1" x14ac:dyDescent="0.5"/>
    <row r="3" spans="1:4" ht="30" customHeight="1" thickBot="1" x14ac:dyDescent="0.55000000000000004">
      <c r="A3" s="346" t="s">
        <v>367</v>
      </c>
      <c r="B3" s="346"/>
      <c r="C3" s="346"/>
      <c r="D3" s="346"/>
    </row>
    <row r="4" spans="1:4" ht="30" customHeight="1" x14ac:dyDescent="0.5">
      <c r="A4" s="16"/>
      <c r="B4" s="17"/>
      <c r="C4" s="18"/>
      <c r="D4" s="19"/>
    </row>
    <row r="5" spans="1:4" ht="1.5" customHeight="1" x14ac:dyDescent="0.5">
      <c r="A5" s="2"/>
      <c r="B5" s="2"/>
      <c r="C5" s="9"/>
      <c r="D5" s="2"/>
    </row>
    <row r="6" spans="1:4" ht="32.25" customHeight="1" x14ac:dyDescent="0.5">
      <c r="A6" s="12" t="s">
        <v>2</v>
      </c>
      <c r="B6" s="12" t="s">
        <v>27</v>
      </c>
      <c r="C6" s="13" t="s">
        <v>0</v>
      </c>
      <c r="D6" s="12" t="s">
        <v>28</v>
      </c>
    </row>
    <row r="7" spans="1:4" ht="40.5" customHeight="1" x14ac:dyDescent="0.5">
      <c r="A7" s="5">
        <v>1</v>
      </c>
      <c r="B7" s="15" t="s">
        <v>65</v>
      </c>
      <c r="C7" s="7">
        <v>85225</v>
      </c>
      <c r="D7" s="11" t="s">
        <v>66</v>
      </c>
    </row>
    <row r="8" spans="1:4" ht="40.5" customHeight="1" x14ac:dyDescent="0.5">
      <c r="A8" s="5">
        <v>2</v>
      </c>
      <c r="B8" s="15" t="s">
        <v>62</v>
      </c>
      <c r="C8" s="7">
        <v>85225</v>
      </c>
      <c r="D8" s="6" t="s">
        <v>6</v>
      </c>
    </row>
    <row r="9" spans="1:4" ht="45" customHeight="1" x14ac:dyDescent="0.5">
      <c r="A9" s="5">
        <v>3</v>
      </c>
      <c r="B9" s="15" t="s">
        <v>280</v>
      </c>
      <c r="C9" s="7">
        <v>85225</v>
      </c>
      <c r="D9" s="6" t="s">
        <v>281</v>
      </c>
    </row>
    <row r="10" spans="1:4" ht="45" customHeight="1" x14ac:dyDescent="0.5">
      <c r="A10" s="5">
        <v>4</v>
      </c>
      <c r="B10" s="15" t="s">
        <v>63</v>
      </c>
      <c r="C10" s="7">
        <v>118779</v>
      </c>
      <c r="D10" s="6" t="s">
        <v>8</v>
      </c>
    </row>
    <row r="11" spans="1:4" ht="37.5" customHeight="1" x14ac:dyDescent="0.5">
      <c r="A11" s="5">
        <v>5</v>
      </c>
      <c r="B11" s="15" t="s">
        <v>64</v>
      </c>
      <c r="C11" s="7">
        <v>85225</v>
      </c>
      <c r="D11" s="6" t="s">
        <v>32</v>
      </c>
    </row>
    <row r="12" spans="1:4" ht="36" customHeight="1" x14ac:dyDescent="0.5">
      <c r="A12" s="2"/>
      <c r="B12" s="3" t="s">
        <v>29</v>
      </c>
      <c r="C12" s="14">
        <f>SUM(C7:C11)</f>
        <v>459679</v>
      </c>
      <c r="D12" s="2"/>
    </row>
    <row r="13" spans="1:4" x14ac:dyDescent="0.5">
      <c r="A13" s="1"/>
      <c r="B13" s="1"/>
      <c r="C13" s="10"/>
      <c r="D13" s="1"/>
    </row>
    <row r="19" spans="4:5" x14ac:dyDescent="0.5">
      <c r="D19" s="8"/>
      <c r="E19" s="8"/>
    </row>
    <row r="20" spans="4:5" x14ac:dyDescent="0.5">
      <c r="D20" s="8"/>
      <c r="E20" s="8"/>
    </row>
    <row r="39" ht="15" customHeight="1" x14ac:dyDescent="0.5"/>
    <row r="40" ht="15.75" customHeight="1" x14ac:dyDescent="0.5"/>
  </sheetData>
  <sortState xmlns:xlrd2="http://schemas.microsoft.com/office/spreadsheetml/2017/richdata2" ref="B6:D9">
    <sortCondition ref="B6"/>
  </sortState>
  <mergeCells count="1">
    <mergeCell ref="A3:D3"/>
  </mergeCells>
  <pageMargins left="0.7" right="0.7" top="0.75" bottom="0.75" header="0.3" footer="0.3"/>
  <pageSetup paperSize="9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1">
    <tabColor rgb="FF00B050"/>
    <pageSetUpPr fitToPage="1"/>
  </sheetPr>
  <dimension ref="B1:R24"/>
  <sheetViews>
    <sheetView topLeftCell="A8" workbookViewId="0">
      <selection activeCell="B12" sqref="B12:E16"/>
    </sheetView>
  </sheetViews>
  <sheetFormatPr baseColWidth="10" defaultColWidth="10.77734375" defaultRowHeight="18" x14ac:dyDescent="0.35"/>
  <cols>
    <col min="1" max="1" width="10.77734375" style="35"/>
    <col min="2" max="2" width="28.44140625" style="35" customWidth="1"/>
    <col min="3" max="3" width="14.77734375" style="61" customWidth="1"/>
    <col min="4" max="4" width="16.33203125" style="35" customWidth="1"/>
    <col min="5" max="5" width="11.77734375" style="35" customWidth="1"/>
    <col min="6" max="6" width="29" style="35" customWidth="1"/>
    <col min="7" max="9" width="15.33203125" style="35" customWidth="1"/>
    <col min="10" max="10" width="22" style="35" customWidth="1"/>
    <col min="11" max="11" width="13.44140625" style="35" customWidth="1"/>
    <col min="12" max="12" width="24.44140625" style="35" customWidth="1"/>
    <col min="13" max="16384" width="10.77734375" style="35"/>
  </cols>
  <sheetData>
    <row r="1" spans="2:18" ht="37.5" customHeight="1" x14ac:dyDescent="0.35">
      <c r="B1" s="347" t="s">
        <v>368</v>
      </c>
      <c r="C1" s="348"/>
      <c r="D1" s="348"/>
      <c r="E1" s="348"/>
    </row>
    <row r="2" spans="2:18" ht="36" customHeight="1" x14ac:dyDescent="0.35">
      <c r="B2" s="270"/>
      <c r="C2" s="270"/>
      <c r="D2" s="270"/>
      <c r="E2" s="270"/>
    </row>
    <row r="3" spans="2:18" ht="26.25" customHeight="1" x14ac:dyDescent="0.5">
      <c r="B3" s="349" t="s">
        <v>456</v>
      </c>
      <c r="C3" s="349"/>
      <c r="D3" s="349"/>
      <c r="E3" s="349"/>
      <c r="F3" s="349"/>
    </row>
    <row r="4" spans="2:18" ht="30.75" customHeight="1" x14ac:dyDescent="0.5">
      <c r="B4" s="263" t="s">
        <v>36</v>
      </c>
      <c r="C4" s="263" t="s">
        <v>270</v>
      </c>
      <c r="D4" s="262" t="s">
        <v>278</v>
      </c>
      <c r="E4" s="263" t="s">
        <v>0</v>
      </c>
      <c r="F4" s="263" t="s">
        <v>211</v>
      </c>
    </row>
    <row r="5" spans="2:18" ht="27.75" customHeight="1" x14ac:dyDescent="0.5">
      <c r="B5" s="264" t="s">
        <v>271</v>
      </c>
      <c r="C5" s="265">
        <v>18</v>
      </c>
      <c r="D5" s="265">
        <v>1600</v>
      </c>
      <c r="E5" s="265">
        <v>25600</v>
      </c>
      <c r="F5" s="266" t="s">
        <v>24</v>
      </c>
    </row>
    <row r="6" spans="2:18" ht="36.75" customHeight="1" x14ac:dyDescent="0.5">
      <c r="B6" s="264" t="s">
        <v>273</v>
      </c>
      <c r="C6" s="265">
        <v>25</v>
      </c>
      <c r="D6" s="265">
        <v>1600</v>
      </c>
      <c r="E6" s="265">
        <v>39600</v>
      </c>
      <c r="F6" s="266" t="s">
        <v>25</v>
      </c>
    </row>
    <row r="7" spans="2:18" ht="33.6" customHeight="1" x14ac:dyDescent="0.5">
      <c r="B7" s="264" t="s">
        <v>272</v>
      </c>
      <c r="C7" s="265">
        <v>25</v>
      </c>
      <c r="D7" s="265">
        <v>1600</v>
      </c>
      <c r="E7" s="265">
        <v>39600</v>
      </c>
      <c r="F7" s="266" t="s">
        <v>23</v>
      </c>
      <c r="R7" s="35" t="s">
        <v>282</v>
      </c>
    </row>
    <row r="8" spans="2:18" ht="24" customHeight="1" x14ac:dyDescent="0.5">
      <c r="B8" s="264" t="s">
        <v>486</v>
      </c>
      <c r="C8" s="265">
        <v>10</v>
      </c>
      <c r="D8" s="265">
        <v>1600</v>
      </c>
      <c r="E8" s="265">
        <v>20000</v>
      </c>
      <c r="F8" s="266" t="s">
        <v>487</v>
      </c>
    </row>
    <row r="9" spans="2:18" ht="22.5" customHeight="1" x14ac:dyDescent="0.5">
      <c r="B9" s="267" t="s">
        <v>1</v>
      </c>
      <c r="C9" s="268">
        <f>SUM(C5:C8)</f>
        <v>78</v>
      </c>
      <c r="D9" s="268">
        <v>1600</v>
      </c>
      <c r="E9" s="268">
        <f>SUM(E5:E8)</f>
        <v>124800</v>
      </c>
      <c r="F9" s="269"/>
    </row>
    <row r="10" spans="2:18" ht="18.75" customHeight="1" x14ac:dyDescent="0.5">
      <c r="B10"/>
      <c r="C10"/>
      <c r="D10"/>
      <c r="E10"/>
      <c r="F10"/>
    </row>
    <row r="11" spans="2:18" ht="22.5" customHeight="1" x14ac:dyDescent="0.5">
      <c r="B11" s="350" t="s">
        <v>457</v>
      </c>
      <c r="C11" s="350"/>
      <c r="D11" s="350"/>
      <c r="E11" s="350"/>
      <c r="F11"/>
    </row>
    <row r="12" spans="2:18" ht="20.25" customHeight="1" x14ac:dyDescent="0.5">
      <c r="B12" s="351" t="s">
        <v>458</v>
      </c>
      <c r="C12" s="351"/>
      <c r="D12" s="351"/>
      <c r="E12" s="351"/>
      <c r="F12"/>
    </row>
    <row r="13" spans="2:18" ht="27" customHeight="1" x14ac:dyDescent="0.5">
      <c r="B13" s="351"/>
      <c r="C13" s="351"/>
      <c r="D13" s="351"/>
      <c r="E13" s="351"/>
      <c r="F13"/>
    </row>
    <row r="14" spans="2:18" ht="15.75" customHeight="1" x14ac:dyDescent="0.5">
      <c r="B14" s="351"/>
      <c r="C14" s="351"/>
      <c r="D14" s="351"/>
      <c r="E14" s="351"/>
      <c r="F14"/>
    </row>
    <row r="15" spans="2:18" ht="19.8" x14ac:dyDescent="0.5">
      <c r="B15" s="351"/>
      <c r="C15" s="351"/>
      <c r="D15" s="351"/>
      <c r="E15" s="351"/>
      <c r="F15"/>
    </row>
    <row r="16" spans="2:18" ht="19.8" x14ac:dyDescent="0.5">
      <c r="B16" s="351"/>
      <c r="C16" s="351"/>
      <c r="D16" s="351"/>
      <c r="E16" s="351"/>
      <c r="F16"/>
      <c r="H16" s="284">
        <f>SUM(C23,C19,E9)</f>
        <v>199800</v>
      </c>
    </row>
    <row r="17" spans="2:6" x14ac:dyDescent="0.35">
      <c r="B17" s="326" t="s">
        <v>461</v>
      </c>
      <c r="C17" s="326"/>
      <c r="D17" s="326"/>
    </row>
    <row r="18" spans="2:6" x14ac:dyDescent="0.35">
      <c r="B18" s="67" t="s">
        <v>27</v>
      </c>
      <c r="C18" s="68" t="s">
        <v>0</v>
      </c>
      <c r="D18" s="67" t="s">
        <v>115</v>
      </c>
      <c r="F18" s="35" t="s">
        <v>463</v>
      </c>
    </row>
    <row r="19" spans="2:6" x14ac:dyDescent="0.35">
      <c r="B19" s="33" t="s">
        <v>460</v>
      </c>
      <c r="C19" s="245">
        <v>40000</v>
      </c>
      <c r="D19" s="33" t="s">
        <v>462</v>
      </c>
    </row>
    <row r="20" spans="2:6" x14ac:dyDescent="0.35">
      <c r="C20" s="35"/>
    </row>
    <row r="21" spans="2:6" x14ac:dyDescent="0.35">
      <c r="C21" s="35"/>
    </row>
    <row r="22" spans="2:6" x14ac:dyDescent="0.35">
      <c r="B22" s="67" t="s">
        <v>27</v>
      </c>
      <c r="C22" s="68" t="s">
        <v>0</v>
      </c>
      <c r="D22" s="67" t="s">
        <v>115</v>
      </c>
    </row>
    <row r="23" spans="2:6" x14ac:dyDescent="0.35">
      <c r="B23" s="33" t="s">
        <v>127</v>
      </c>
      <c r="C23" s="245">
        <v>35000</v>
      </c>
      <c r="D23" s="33" t="s">
        <v>126</v>
      </c>
    </row>
    <row r="24" spans="2:6" x14ac:dyDescent="0.35">
      <c r="C24" s="35"/>
    </row>
  </sheetData>
  <sortState xmlns:xlrd2="http://schemas.microsoft.com/office/spreadsheetml/2017/richdata2" ref="B6:F8">
    <sortCondition ref="F6:F8"/>
  </sortState>
  <mergeCells count="5">
    <mergeCell ref="B17:D17"/>
    <mergeCell ref="B1:E1"/>
    <mergeCell ref="B3:F3"/>
    <mergeCell ref="B11:E11"/>
    <mergeCell ref="B12:E16"/>
  </mergeCells>
  <pageMargins left="0.7" right="0.7" top="0.75" bottom="0.75" header="0.3" footer="0.3"/>
  <pageSetup paperSize="9" scale="4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8">
    <pageSetUpPr fitToPage="1"/>
  </sheetPr>
  <dimension ref="A1:AC35"/>
  <sheetViews>
    <sheetView workbookViewId="0">
      <selection activeCell="R4" sqref="R4"/>
    </sheetView>
  </sheetViews>
  <sheetFormatPr baseColWidth="10" defaultColWidth="11" defaultRowHeight="13.8" x14ac:dyDescent="0.25"/>
  <cols>
    <col min="1" max="1" width="33.77734375" style="52" customWidth="1"/>
    <col min="2" max="2" width="6" style="52" customWidth="1"/>
    <col min="3" max="3" width="7.77734375" style="51" customWidth="1"/>
    <col min="4" max="4" width="6.44140625" style="52" customWidth="1"/>
    <col min="5" max="5" width="5.77734375" style="52" customWidth="1"/>
    <col min="6" max="6" width="6.44140625" style="52" customWidth="1"/>
    <col min="7" max="7" width="5.88671875" style="52" customWidth="1"/>
    <col min="8" max="8" width="6.21875" style="52" customWidth="1"/>
    <col min="9" max="9" width="6.33203125" style="52" customWidth="1"/>
    <col min="10" max="10" width="6.44140625" style="52" customWidth="1"/>
    <col min="11" max="11" width="6.33203125" style="52" customWidth="1"/>
    <col min="12" max="12" width="6" style="52" customWidth="1"/>
    <col min="13" max="13" width="6.21875" style="52" customWidth="1"/>
    <col min="14" max="14" width="5.77734375" style="52" customWidth="1"/>
    <col min="15" max="15" width="6.33203125" style="52" customWidth="1"/>
    <col min="16" max="17" width="6.21875" style="52" customWidth="1"/>
    <col min="18" max="18" width="5.88671875" style="52" customWidth="1"/>
    <col min="19" max="19" width="6" style="52" customWidth="1"/>
    <col min="20" max="20" width="5.88671875" style="52" customWidth="1"/>
    <col min="21" max="21" width="6.77734375" style="52" customWidth="1"/>
    <col min="22" max="22" width="8.88671875" style="52" customWidth="1"/>
    <col min="23" max="23" width="6.88671875" style="52" customWidth="1"/>
    <col min="24" max="24" width="10.33203125" style="52" customWidth="1"/>
    <col min="25" max="26" width="11" style="52"/>
    <col min="27" max="27" width="15.33203125" style="52" customWidth="1"/>
    <col min="28" max="28" width="11" style="52"/>
    <col min="29" max="29" width="14.33203125" style="52" customWidth="1"/>
    <col min="30" max="16384" width="11" style="52"/>
  </cols>
  <sheetData>
    <row r="1" spans="1:29" ht="17.399999999999999" x14ac:dyDescent="0.3">
      <c r="A1" s="356" t="s">
        <v>315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8"/>
    </row>
    <row r="2" spans="1:29" ht="18" x14ac:dyDescent="0.35">
      <c r="A2" s="359" t="s">
        <v>36</v>
      </c>
      <c r="B2" s="356" t="s">
        <v>276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8"/>
      <c r="AA2" s="248"/>
      <c r="AB2" s="248"/>
      <c r="AC2" s="248"/>
    </row>
    <row r="3" spans="1:29" ht="15" customHeight="1" x14ac:dyDescent="0.25">
      <c r="A3" s="360"/>
      <c r="B3" s="249">
        <v>45922</v>
      </c>
      <c r="C3" s="249">
        <v>45923</v>
      </c>
      <c r="D3" s="249">
        <v>45924</v>
      </c>
      <c r="E3" s="249">
        <v>45925</v>
      </c>
      <c r="F3" s="249">
        <v>45926</v>
      </c>
      <c r="G3" s="249">
        <v>45927</v>
      </c>
      <c r="H3" s="249">
        <v>45929</v>
      </c>
      <c r="I3" s="249">
        <v>45930</v>
      </c>
      <c r="J3" s="249">
        <v>45931</v>
      </c>
      <c r="K3" s="249">
        <v>45932</v>
      </c>
      <c r="L3" s="249">
        <v>45933</v>
      </c>
      <c r="M3" s="249">
        <v>45934</v>
      </c>
      <c r="N3" s="249">
        <v>45936</v>
      </c>
      <c r="O3" s="249">
        <v>45937</v>
      </c>
      <c r="P3" s="249">
        <v>45938</v>
      </c>
      <c r="Q3" s="249">
        <v>45939</v>
      </c>
      <c r="R3" s="249">
        <v>45940</v>
      </c>
      <c r="S3" s="249">
        <v>45941</v>
      </c>
      <c r="T3" s="249">
        <v>45943</v>
      </c>
      <c r="U3" s="249">
        <v>45944</v>
      </c>
      <c r="V3" s="249">
        <v>45945</v>
      </c>
      <c r="W3" s="249">
        <v>45946</v>
      </c>
      <c r="X3" s="249">
        <v>45947</v>
      </c>
      <c r="Y3" s="249">
        <v>45948</v>
      </c>
      <c r="Z3" s="249">
        <v>45950</v>
      </c>
      <c r="AA3" s="250" t="s">
        <v>277</v>
      </c>
      <c r="AB3" s="250" t="s">
        <v>278</v>
      </c>
      <c r="AC3" s="250" t="s">
        <v>279</v>
      </c>
    </row>
    <row r="4" spans="1:29" x14ac:dyDescent="0.25">
      <c r="A4" s="251" t="s">
        <v>244</v>
      </c>
      <c r="B4" s="252">
        <v>116</v>
      </c>
      <c r="C4" s="252">
        <v>61</v>
      </c>
      <c r="D4" s="252">
        <v>72</v>
      </c>
      <c r="E4" s="252">
        <v>32</v>
      </c>
      <c r="F4" s="252">
        <v>94</v>
      </c>
      <c r="G4" s="252">
        <v>112</v>
      </c>
      <c r="H4" s="252">
        <v>332</v>
      </c>
      <c r="I4" s="252">
        <v>40</v>
      </c>
      <c r="J4" s="252">
        <v>54</v>
      </c>
      <c r="K4" s="252">
        <v>46</v>
      </c>
      <c r="L4" s="252">
        <v>103</v>
      </c>
      <c r="M4" s="252">
        <v>100</v>
      </c>
      <c r="N4" s="252">
        <v>155</v>
      </c>
      <c r="O4" s="252">
        <v>68</v>
      </c>
      <c r="P4" s="252">
        <v>107</v>
      </c>
      <c r="Q4" s="252">
        <v>61</v>
      </c>
      <c r="R4" s="252">
        <v>219</v>
      </c>
      <c r="S4" s="252">
        <v>262</v>
      </c>
      <c r="T4" s="252">
        <v>203</v>
      </c>
      <c r="U4" s="252">
        <v>100</v>
      </c>
      <c r="V4" s="252">
        <v>197</v>
      </c>
      <c r="W4" s="252">
        <v>105</v>
      </c>
      <c r="X4" s="252">
        <v>84</v>
      </c>
      <c r="Y4" s="252">
        <v>62</v>
      </c>
      <c r="Z4" s="252">
        <v>270</v>
      </c>
      <c r="AA4" s="253">
        <f t="shared" ref="AA4:AA11" si="0">SUM(B4:Z4)</f>
        <v>3055</v>
      </c>
      <c r="AB4" s="253">
        <v>20</v>
      </c>
      <c r="AC4" s="253">
        <f>AA4*AB4</f>
        <v>61100</v>
      </c>
    </row>
    <row r="5" spans="1:29" x14ac:dyDescent="0.25">
      <c r="A5" s="251" t="s">
        <v>274</v>
      </c>
      <c r="B5" s="252">
        <v>72</v>
      </c>
      <c r="C5" s="252">
        <v>74</v>
      </c>
      <c r="D5" s="252">
        <v>30</v>
      </c>
      <c r="E5" s="252">
        <v>68</v>
      </c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>
        <v>60</v>
      </c>
      <c r="Y5" s="252">
        <v>68</v>
      </c>
      <c r="Z5" s="252">
        <v>179</v>
      </c>
      <c r="AA5" s="253">
        <f t="shared" si="0"/>
        <v>551</v>
      </c>
      <c r="AB5" s="253">
        <v>20</v>
      </c>
      <c r="AC5" s="253">
        <f t="shared" ref="AC5:AC11" si="1">AA5*AB5</f>
        <v>11020</v>
      </c>
    </row>
    <row r="6" spans="1:29" x14ac:dyDescent="0.25">
      <c r="A6" s="251" t="s">
        <v>314</v>
      </c>
      <c r="B6" s="252">
        <v>65</v>
      </c>
      <c r="C6" s="252">
        <v>51</v>
      </c>
      <c r="D6" s="252">
        <v>50</v>
      </c>
      <c r="E6" s="252">
        <v>46</v>
      </c>
      <c r="F6" s="252">
        <v>117</v>
      </c>
      <c r="G6" s="252">
        <v>59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>
        <v>101</v>
      </c>
      <c r="X6" s="252">
        <v>104</v>
      </c>
      <c r="Y6" s="252">
        <v>48</v>
      </c>
      <c r="Z6" s="252">
        <v>56</v>
      </c>
      <c r="AA6" s="253">
        <f t="shared" si="0"/>
        <v>697</v>
      </c>
      <c r="AB6" s="253">
        <v>20</v>
      </c>
      <c r="AC6" s="253">
        <f t="shared" si="1"/>
        <v>13940</v>
      </c>
    </row>
    <row r="7" spans="1:29" x14ac:dyDescent="0.25">
      <c r="A7" s="251" t="s">
        <v>316</v>
      </c>
      <c r="B7" s="252">
        <v>103</v>
      </c>
      <c r="C7" s="252">
        <v>45</v>
      </c>
      <c r="D7" s="252">
        <v>75</v>
      </c>
      <c r="E7" s="252">
        <v>84</v>
      </c>
      <c r="F7" s="252"/>
      <c r="G7" s="252"/>
      <c r="H7" s="252"/>
      <c r="I7" s="252"/>
      <c r="J7" s="252"/>
      <c r="K7" s="252">
        <v>93</v>
      </c>
      <c r="L7" s="252">
        <v>49</v>
      </c>
      <c r="M7" s="252">
        <v>108</v>
      </c>
      <c r="N7" s="252">
        <v>280</v>
      </c>
      <c r="O7" s="252">
        <v>102</v>
      </c>
      <c r="P7" s="252">
        <v>108</v>
      </c>
      <c r="Q7" s="252">
        <v>52</v>
      </c>
      <c r="R7" s="252">
        <v>191</v>
      </c>
      <c r="S7" s="252">
        <v>96</v>
      </c>
      <c r="T7" s="252"/>
      <c r="U7" s="252"/>
      <c r="V7" s="252">
        <v>122</v>
      </c>
      <c r="W7" s="252">
        <v>160</v>
      </c>
      <c r="X7" s="252">
        <v>239</v>
      </c>
      <c r="Y7" s="252">
        <v>74</v>
      </c>
      <c r="Z7" s="252">
        <v>65</v>
      </c>
      <c r="AA7" s="253">
        <f t="shared" si="0"/>
        <v>2046</v>
      </c>
      <c r="AB7" s="253">
        <v>20</v>
      </c>
      <c r="AC7" s="253">
        <f t="shared" si="1"/>
        <v>40920</v>
      </c>
    </row>
    <row r="8" spans="1:29" x14ac:dyDescent="0.25">
      <c r="A8" s="251" t="s">
        <v>317</v>
      </c>
      <c r="B8" s="252">
        <v>100</v>
      </c>
      <c r="C8" s="252">
        <v>31</v>
      </c>
      <c r="D8" s="252">
        <v>73</v>
      </c>
      <c r="E8" s="252">
        <v>94</v>
      </c>
      <c r="F8" s="252">
        <v>116</v>
      </c>
      <c r="G8" s="252">
        <v>133</v>
      </c>
      <c r="H8" s="254"/>
      <c r="I8" s="254"/>
      <c r="J8" s="254"/>
      <c r="K8" s="254"/>
      <c r="L8" s="254"/>
      <c r="M8" s="254"/>
      <c r="N8" s="187"/>
      <c r="O8" s="252"/>
      <c r="P8" s="252"/>
      <c r="Q8" s="252"/>
      <c r="R8" s="252"/>
      <c r="S8" s="252"/>
      <c r="T8" s="252">
        <v>296</v>
      </c>
      <c r="U8" s="252">
        <v>122</v>
      </c>
      <c r="V8" s="252">
        <v>69</v>
      </c>
      <c r="W8" s="252">
        <v>104</v>
      </c>
      <c r="X8" s="252">
        <v>102</v>
      </c>
      <c r="Y8" s="252">
        <v>61</v>
      </c>
      <c r="Z8" s="252">
        <v>287</v>
      </c>
      <c r="AA8" s="253">
        <f t="shared" si="0"/>
        <v>1588</v>
      </c>
      <c r="AB8" s="253">
        <v>20</v>
      </c>
      <c r="AC8" s="253">
        <f>AA8*AB8</f>
        <v>31760</v>
      </c>
    </row>
    <row r="9" spans="1:29" x14ac:dyDescent="0.25">
      <c r="A9" s="251" t="s">
        <v>402</v>
      </c>
      <c r="B9" s="252">
        <v>115</v>
      </c>
      <c r="C9" s="252">
        <v>111</v>
      </c>
      <c r="D9" s="252">
        <v>118</v>
      </c>
      <c r="E9" s="252">
        <v>138</v>
      </c>
      <c r="F9" s="252">
        <v>109</v>
      </c>
      <c r="G9" s="254"/>
      <c r="H9" s="254"/>
      <c r="I9" s="254"/>
      <c r="J9" s="254"/>
      <c r="K9" s="254"/>
      <c r="L9" s="254"/>
      <c r="M9" s="252">
        <v>46</v>
      </c>
      <c r="N9" s="252">
        <v>194</v>
      </c>
      <c r="O9" s="252"/>
      <c r="P9" s="252"/>
      <c r="Q9" s="252"/>
      <c r="R9" s="252"/>
      <c r="S9" s="252"/>
      <c r="T9" s="252"/>
      <c r="U9" s="252">
        <v>75</v>
      </c>
      <c r="V9" s="252">
        <v>174</v>
      </c>
      <c r="W9" s="252">
        <v>94</v>
      </c>
      <c r="X9" s="252">
        <v>104</v>
      </c>
      <c r="Y9" s="252">
        <v>78</v>
      </c>
      <c r="Z9" s="252">
        <v>91</v>
      </c>
      <c r="AA9" s="253">
        <f t="shared" si="0"/>
        <v>1447</v>
      </c>
      <c r="AB9" s="253">
        <v>20</v>
      </c>
      <c r="AC9" s="253">
        <f t="shared" si="1"/>
        <v>28940</v>
      </c>
    </row>
    <row r="10" spans="1:29" x14ac:dyDescent="0.25">
      <c r="A10" s="251" t="s">
        <v>403</v>
      </c>
      <c r="B10" s="252">
        <v>65</v>
      </c>
      <c r="C10" s="252">
        <v>67</v>
      </c>
      <c r="D10" s="252">
        <v>47</v>
      </c>
      <c r="E10" s="252">
        <v>36</v>
      </c>
      <c r="F10" s="252">
        <v>92</v>
      </c>
      <c r="G10" s="252">
        <v>145</v>
      </c>
      <c r="H10" s="252">
        <v>125</v>
      </c>
      <c r="I10" s="252">
        <v>31</v>
      </c>
      <c r="J10" s="252">
        <v>71</v>
      </c>
      <c r="K10" s="252">
        <v>70</v>
      </c>
      <c r="L10" s="252">
        <v>79</v>
      </c>
      <c r="M10" s="252">
        <v>66</v>
      </c>
      <c r="N10" s="252">
        <v>135</v>
      </c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3">
        <f t="shared" si="0"/>
        <v>1029</v>
      </c>
      <c r="AB10" s="253">
        <v>20</v>
      </c>
      <c r="AC10" s="253">
        <f t="shared" si="1"/>
        <v>20580</v>
      </c>
    </row>
    <row r="11" spans="1:29" x14ac:dyDescent="0.25">
      <c r="A11" s="251" t="s">
        <v>404</v>
      </c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>
        <v>71</v>
      </c>
      <c r="V11" s="252">
        <v>66</v>
      </c>
      <c r="W11" s="252">
        <v>76</v>
      </c>
      <c r="X11" s="252">
        <v>65</v>
      </c>
      <c r="Y11" s="252">
        <v>134</v>
      </c>
      <c r="Z11" s="252">
        <v>60</v>
      </c>
      <c r="AA11" s="253">
        <f t="shared" si="0"/>
        <v>472</v>
      </c>
      <c r="AB11" s="253">
        <v>20</v>
      </c>
      <c r="AC11" s="253">
        <f t="shared" si="1"/>
        <v>9440</v>
      </c>
    </row>
    <row r="12" spans="1:29" x14ac:dyDescent="0.25">
      <c r="A12" s="361" t="s">
        <v>1</v>
      </c>
      <c r="B12" s="362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3"/>
      <c r="AA12" s="255">
        <f>SUM(AA4:AA11)</f>
        <v>10885</v>
      </c>
      <c r="AB12" s="256">
        <v>20</v>
      </c>
      <c r="AC12" s="256">
        <f>AA12*AB12</f>
        <v>217700</v>
      </c>
    </row>
    <row r="13" spans="1:29" x14ac:dyDescent="0.25">
      <c r="C13" s="52"/>
    </row>
    <row r="14" spans="1:29" ht="18.600000000000001" x14ac:dyDescent="0.3">
      <c r="A14" s="364" t="s">
        <v>405</v>
      </c>
      <c r="B14" s="364"/>
      <c r="C14" s="364"/>
      <c r="D14" s="364"/>
      <c r="E14" s="364"/>
      <c r="F14" s="364"/>
    </row>
    <row r="15" spans="1:29" ht="16.8" x14ac:dyDescent="0.3">
      <c r="A15" s="257" t="s">
        <v>36</v>
      </c>
      <c r="B15" s="257" t="s">
        <v>406</v>
      </c>
      <c r="C15" s="257"/>
      <c r="D15" s="355" t="s">
        <v>211</v>
      </c>
      <c r="E15" s="355"/>
      <c r="F15" s="355"/>
    </row>
    <row r="16" spans="1:29" ht="16.8" x14ac:dyDescent="0.3">
      <c r="A16" s="244" t="s">
        <v>291</v>
      </c>
      <c r="B16" s="353">
        <f>AC4</f>
        <v>61100</v>
      </c>
      <c r="C16" s="353"/>
      <c r="D16" s="354" t="s">
        <v>212</v>
      </c>
      <c r="E16" s="354"/>
      <c r="F16" s="354"/>
    </row>
    <row r="17" spans="1:15" ht="16.8" x14ac:dyDescent="0.3">
      <c r="A17" s="244" t="s">
        <v>290</v>
      </c>
      <c r="B17" s="353">
        <f t="shared" ref="B17:B23" si="2">AC5</f>
        <v>11020</v>
      </c>
      <c r="C17" s="353"/>
      <c r="D17" s="354" t="s">
        <v>275</v>
      </c>
      <c r="E17" s="354"/>
      <c r="F17" s="354"/>
    </row>
    <row r="18" spans="1:15" ht="16.8" x14ac:dyDescent="0.3">
      <c r="A18" s="244" t="s">
        <v>331</v>
      </c>
      <c r="B18" s="353">
        <f t="shared" si="2"/>
        <v>13940</v>
      </c>
      <c r="C18" s="353"/>
      <c r="D18" s="354" t="s">
        <v>318</v>
      </c>
      <c r="E18" s="354"/>
      <c r="F18" s="354"/>
    </row>
    <row r="19" spans="1:15" ht="16.8" x14ac:dyDescent="0.3">
      <c r="A19" s="244" t="s">
        <v>332</v>
      </c>
      <c r="B19" s="353">
        <f t="shared" si="2"/>
        <v>40920</v>
      </c>
      <c r="C19" s="353"/>
      <c r="D19" s="354" t="s">
        <v>319</v>
      </c>
      <c r="E19" s="354"/>
      <c r="F19" s="354"/>
    </row>
    <row r="20" spans="1:15" ht="16.8" x14ac:dyDescent="0.3">
      <c r="A20" s="244" t="s">
        <v>333</v>
      </c>
      <c r="B20" s="353">
        <f t="shared" si="2"/>
        <v>31760</v>
      </c>
      <c r="C20" s="353"/>
      <c r="D20" s="354" t="s">
        <v>320</v>
      </c>
      <c r="E20" s="354"/>
      <c r="F20" s="354"/>
    </row>
    <row r="21" spans="1:15" ht="16.8" x14ac:dyDescent="0.3">
      <c r="A21" s="244" t="s">
        <v>410</v>
      </c>
      <c r="B21" s="353">
        <f t="shared" si="2"/>
        <v>28940</v>
      </c>
      <c r="C21" s="353"/>
      <c r="D21" s="354" t="s">
        <v>407</v>
      </c>
      <c r="E21" s="354"/>
      <c r="F21" s="354"/>
    </row>
    <row r="22" spans="1:15" ht="16.8" x14ac:dyDescent="0.3">
      <c r="A22" s="244" t="s">
        <v>411</v>
      </c>
      <c r="B22" s="353">
        <f t="shared" si="2"/>
        <v>20580</v>
      </c>
      <c r="C22" s="353"/>
      <c r="D22" s="354" t="s">
        <v>408</v>
      </c>
      <c r="E22" s="354"/>
      <c r="F22" s="354"/>
    </row>
    <row r="23" spans="1:15" ht="16.8" x14ac:dyDescent="0.3">
      <c r="A23" s="244" t="s">
        <v>412</v>
      </c>
      <c r="B23" s="353">
        <f t="shared" si="2"/>
        <v>9440</v>
      </c>
      <c r="C23" s="353"/>
      <c r="D23" s="354" t="s">
        <v>409</v>
      </c>
      <c r="E23" s="354"/>
      <c r="F23" s="354"/>
    </row>
    <row r="24" spans="1:15" ht="18.600000000000001" x14ac:dyDescent="0.3">
      <c r="A24" s="258" t="s">
        <v>1</v>
      </c>
      <c r="B24" s="352">
        <f>SUM(B16:B23)</f>
        <v>217700</v>
      </c>
      <c r="C24" s="352"/>
    </row>
    <row r="25" spans="1:15" x14ac:dyDescent="0.25">
      <c r="O25" s="52" t="s">
        <v>430</v>
      </c>
    </row>
    <row r="26" spans="1:15" x14ac:dyDescent="0.25">
      <c r="C26" s="52"/>
    </row>
    <row r="27" spans="1:15" x14ac:dyDescent="0.25">
      <c r="C27" s="52"/>
    </row>
    <row r="28" spans="1:15" x14ac:dyDescent="0.25">
      <c r="C28" s="52"/>
    </row>
    <row r="29" spans="1:15" x14ac:dyDescent="0.25">
      <c r="C29" s="52"/>
    </row>
    <row r="30" spans="1:15" x14ac:dyDescent="0.25">
      <c r="C30" s="52"/>
    </row>
    <row r="31" spans="1:15" x14ac:dyDescent="0.25">
      <c r="C31" s="52"/>
    </row>
    <row r="32" spans="1:15" x14ac:dyDescent="0.25">
      <c r="C32" s="52"/>
    </row>
    <row r="33" s="52" customFormat="1" x14ac:dyDescent="0.25"/>
    <row r="34" s="52" customFormat="1" x14ac:dyDescent="0.25"/>
    <row r="35" s="52" customFormat="1" x14ac:dyDescent="0.25"/>
  </sheetData>
  <mergeCells count="23">
    <mergeCell ref="A1:AC1"/>
    <mergeCell ref="A2:A3"/>
    <mergeCell ref="B2:Z2"/>
    <mergeCell ref="A12:Z12"/>
    <mergeCell ref="A14:F14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4:C24"/>
    <mergeCell ref="B21:C21"/>
    <mergeCell ref="D21:F21"/>
    <mergeCell ref="B22:C22"/>
    <mergeCell ref="D22:F22"/>
    <mergeCell ref="B23:C23"/>
    <mergeCell ref="D23:F23"/>
  </mergeCells>
  <pageMargins left="0.7" right="0.7" top="0.75" bottom="0.75" header="0.3" footer="0.3"/>
  <pageSetup paperSize="9" scale="7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tabColor theme="6" tint="-0.249977111117893"/>
    <pageSetUpPr fitToPage="1"/>
  </sheetPr>
  <dimension ref="C1:J60"/>
  <sheetViews>
    <sheetView topLeftCell="A11" zoomScaleNormal="100" workbookViewId="0">
      <selection activeCell="D17" sqref="D17"/>
    </sheetView>
  </sheetViews>
  <sheetFormatPr baseColWidth="10" defaultColWidth="10.77734375" defaultRowHeight="15.6" x14ac:dyDescent="0.3"/>
  <cols>
    <col min="1" max="1" width="10.77734375" style="52"/>
    <col min="2" max="2" width="4.88671875" style="52" customWidth="1"/>
    <col min="3" max="3" width="4.6640625" style="187" customWidth="1"/>
    <col min="4" max="4" width="31.44140625" style="129" customWidth="1"/>
    <col min="5" max="5" width="11" style="52" customWidth="1"/>
    <col min="6" max="6" width="9.21875" style="51" customWidth="1"/>
    <col min="7" max="7" width="17.44140625" style="125" customWidth="1"/>
    <col min="8" max="8" width="26" style="52" customWidth="1"/>
    <col min="9" max="9" width="29.44140625" style="52" customWidth="1"/>
    <col min="10" max="10" width="10.77734375" style="52"/>
    <col min="11" max="11" width="31.44140625" style="52" customWidth="1"/>
    <col min="12" max="16384" width="10.77734375" style="52"/>
  </cols>
  <sheetData>
    <row r="1" spans="3:10" ht="41.25" customHeight="1" thickBot="1" x14ac:dyDescent="0.3">
      <c r="C1" s="365" t="s">
        <v>393</v>
      </c>
      <c r="D1" s="365"/>
      <c r="E1" s="365"/>
      <c r="F1" s="365"/>
      <c r="G1" s="365"/>
      <c r="H1" s="365"/>
      <c r="I1" s="110"/>
    </row>
    <row r="2" spans="3:10" ht="41.25" customHeight="1" x14ac:dyDescent="0.25">
      <c r="C2" s="186"/>
      <c r="D2" s="126"/>
      <c r="E2" s="118"/>
      <c r="F2" s="110"/>
      <c r="G2" s="123"/>
      <c r="H2" s="110"/>
      <c r="I2" s="110"/>
    </row>
    <row r="3" spans="3:10" ht="36.75" customHeight="1" x14ac:dyDescent="0.25">
      <c r="C3" s="127" t="s">
        <v>2</v>
      </c>
      <c r="D3" s="127" t="s">
        <v>27</v>
      </c>
      <c r="E3" s="127" t="s">
        <v>99</v>
      </c>
      <c r="F3" s="134" t="s">
        <v>424</v>
      </c>
      <c r="G3" s="127" t="s">
        <v>87</v>
      </c>
      <c r="H3" s="135" t="s">
        <v>0</v>
      </c>
      <c r="I3" s="127" t="s">
        <v>115</v>
      </c>
      <c r="J3" s="110"/>
    </row>
    <row r="4" spans="3:10" ht="33" customHeight="1" x14ac:dyDescent="0.3">
      <c r="C4" s="136">
        <v>1</v>
      </c>
      <c r="D4" s="128" t="s">
        <v>41</v>
      </c>
      <c r="E4" s="81">
        <v>24</v>
      </c>
      <c r="F4" s="81">
        <f>(E4-15)</f>
        <v>9</v>
      </c>
      <c r="G4" s="119">
        <v>700</v>
      </c>
      <c r="H4" s="124">
        <f>PRODUCT(F4:G4)</f>
        <v>6300</v>
      </c>
      <c r="I4" s="120" t="s">
        <v>16</v>
      </c>
    </row>
    <row r="5" spans="3:10" ht="30.9" customHeight="1" x14ac:dyDescent="0.3">
      <c r="C5" s="136">
        <v>2</v>
      </c>
      <c r="D5" s="128" t="s">
        <v>176</v>
      </c>
      <c r="E5" s="81">
        <v>92</v>
      </c>
      <c r="F5" s="81">
        <f>(E5-30)</f>
        <v>62</v>
      </c>
      <c r="G5" s="119">
        <v>700</v>
      </c>
      <c r="H5" s="124">
        <f>PRODUCT(F5:G5)</f>
        <v>43400</v>
      </c>
      <c r="I5" s="122" t="s">
        <v>198</v>
      </c>
    </row>
    <row r="6" spans="3:10" ht="31.5" customHeight="1" x14ac:dyDescent="0.3">
      <c r="C6" s="136"/>
      <c r="D6" s="128" t="s">
        <v>177</v>
      </c>
      <c r="E6" s="81">
        <v>64</v>
      </c>
      <c r="F6" s="81">
        <f>(E6-25)</f>
        <v>39</v>
      </c>
      <c r="G6" s="119">
        <v>700</v>
      </c>
      <c r="H6" s="124">
        <f>PRODUCT(F6:G6)</f>
        <v>27300</v>
      </c>
      <c r="I6" s="122" t="s">
        <v>199</v>
      </c>
    </row>
    <row r="7" spans="3:10" ht="30" customHeight="1" x14ac:dyDescent="0.3">
      <c r="C7" s="136"/>
      <c r="D7" s="141" t="s">
        <v>178</v>
      </c>
      <c r="E7" s="81"/>
      <c r="F7" s="81"/>
      <c r="G7" s="119"/>
      <c r="H7" s="124">
        <v>60000</v>
      </c>
      <c r="I7" s="120" t="s">
        <v>200</v>
      </c>
    </row>
    <row r="8" spans="3:10" ht="30" customHeight="1" x14ac:dyDescent="0.3">
      <c r="C8" s="136">
        <v>3</v>
      </c>
      <c r="D8" s="128" t="s">
        <v>44</v>
      </c>
      <c r="E8" s="81">
        <v>43</v>
      </c>
      <c r="F8" s="81">
        <f>(E8-23)</f>
        <v>20</v>
      </c>
      <c r="G8" s="119">
        <v>700</v>
      </c>
      <c r="H8" s="124">
        <f t="shared" ref="H8:H15" si="0">PRODUCT(F8:G8)</f>
        <v>14000</v>
      </c>
      <c r="I8" s="120" t="s">
        <v>200</v>
      </c>
    </row>
    <row r="9" spans="3:10" ht="35.25" customHeight="1" x14ac:dyDescent="0.3">
      <c r="C9" s="136">
        <v>4</v>
      </c>
      <c r="D9" s="128" t="s">
        <v>394</v>
      </c>
      <c r="E9" s="81">
        <v>8</v>
      </c>
      <c r="F9" s="81">
        <f>(E9-6)</f>
        <v>2</v>
      </c>
      <c r="G9" s="119">
        <v>700</v>
      </c>
      <c r="H9" s="124">
        <f t="shared" si="0"/>
        <v>1400</v>
      </c>
      <c r="I9" s="121" t="s">
        <v>425</v>
      </c>
    </row>
    <row r="10" spans="3:10" ht="31.5" customHeight="1" x14ac:dyDescent="0.3">
      <c r="C10" s="136">
        <v>5</v>
      </c>
      <c r="D10" s="128" t="s">
        <v>43</v>
      </c>
      <c r="E10" s="81">
        <v>72</v>
      </c>
      <c r="F10" s="81">
        <f>(E10-30)</f>
        <v>42</v>
      </c>
      <c r="G10" s="119">
        <v>700</v>
      </c>
      <c r="H10" s="124">
        <f t="shared" si="0"/>
        <v>29400</v>
      </c>
      <c r="I10" s="120" t="s">
        <v>34</v>
      </c>
    </row>
    <row r="11" spans="3:10" ht="26.25" customHeight="1" x14ac:dyDescent="0.3">
      <c r="C11" s="136">
        <v>6</v>
      </c>
      <c r="D11" s="128" t="s">
        <v>47</v>
      </c>
      <c r="E11" s="81">
        <v>47</v>
      </c>
      <c r="F11" s="81">
        <f>(E11-20)</f>
        <v>27</v>
      </c>
      <c r="G11" s="119">
        <v>700</v>
      </c>
      <c r="H11" s="124">
        <f t="shared" si="0"/>
        <v>18900</v>
      </c>
      <c r="I11" s="120" t="s">
        <v>15</v>
      </c>
    </row>
    <row r="12" spans="3:10" ht="27.75" customHeight="1" x14ac:dyDescent="0.3">
      <c r="C12" s="136">
        <v>7</v>
      </c>
      <c r="D12" s="128" t="s">
        <v>232</v>
      </c>
      <c r="E12" s="81">
        <v>63</v>
      </c>
      <c r="F12" s="81">
        <f>(E12-30)</f>
        <v>33</v>
      </c>
      <c r="G12" s="119">
        <v>700</v>
      </c>
      <c r="H12" s="124">
        <f t="shared" si="0"/>
        <v>23100</v>
      </c>
      <c r="I12" s="120" t="s">
        <v>233</v>
      </c>
    </row>
    <row r="13" spans="3:10" ht="24.9" customHeight="1" x14ac:dyDescent="0.3">
      <c r="C13" s="136">
        <v>8</v>
      </c>
      <c r="D13" s="128" t="s">
        <v>305</v>
      </c>
      <c r="E13" s="81">
        <v>40</v>
      </c>
      <c r="F13" s="81">
        <f>(E13-20)</f>
        <v>20</v>
      </c>
      <c r="G13" s="119">
        <v>700</v>
      </c>
      <c r="H13" s="124">
        <f t="shared" si="0"/>
        <v>14000</v>
      </c>
      <c r="I13" s="120" t="s">
        <v>326</v>
      </c>
    </row>
    <row r="14" spans="3:10" ht="24" customHeight="1" x14ac:dyDescent="0.3">
      <c r="C14" s="136">
        <v>9</v>
      </c>
      <c r="D14" s="128" t="s">
        <v>42</v>
      </c>
      <c r="E14" s="81">
        <v>69</v>
      </c>
      <c r="F14" s="81">
        <f>(E14-20)</f>
        <v>49</v>
      </c>
      <c r="G14" s="119">
        <v>700</v>
      </c>
      <c r="H14" s="124">
        <f t="shared" si="0"/>
        <v>34300</v>
      </c>
      <c r="I14" s="121" t="s">
        <v>33</v>
      </c>
    </row>
    <row r="15" spans="3:10" ht="25.5" customHeight="1" x14ac:dyDescent="0.3">
      <c r="C15" s="136">
        <v>10</v>
      </c>
      <c r="D15" s="128" t="s">
        <v>395</v>
      </c>
      <c r="E15" s="81">
        <v>65</v>
      </c>
      <c r="F15" s="81">
        <f>(E15-20)</f>
        <v>45</v>
      </c>
      <c r="G15" s="119">
        <v>700</v>
      </c>
      <c r="H15" s="124">
        <f t="shared" si="0"/>
        <v>31500</v>
      </c>
      <c r="I15" s="120" t="s">
        <v>426</v>
      </c>
    </row>
    <row r="16" spans="3:10" ht="24.75" customHeight="1" thickBot="1" x14ac:dyDescent="0.35">
      <c r="C16" s="138"/>
      <c r="D16" s="140" t="s">
        <v>1</v>
      </c>
      <c r="E16" s="259">
        <f>SUM(E4:E15)</f>
        <v>587</v>
      </c>
      <c r="F16" s="322">
        <f>SUM(F4:F15)</f>
        <v>348</v>
      </c>
      <c r="G16" s="260"/>
      <c r="H16" s="285">
        <f>SUM(H4:H15)</f>
        <v>303600</v>
      </c>
    </row>
    <row r="17" spans="3:9" ht="21.75" customHeight="1" x14ac:dyDescent="0.3">
      <c r="C17" s="138"/>
      <c r="E17" s="129"/>
      <c r="F17" s="133"/>
      <c r="H17" s="129"/>
    </row>
    <row r="18" spans="3:9" ht="21" customHeight="1" x14ac:dyDescent="0.3">
      <c r="C18" s="138"/>
      <c r="D18" s="129" t="s">
        <v>396</v>
      </c>
      <c r="E18" s="129">
        <v>3.69</v>
      </c>
      <c r="F18" s="133">
        <f t="shared" ref="F18:F25" si="1">E18*6.75</f>
        <v>24.907499999999999</v>
      </c>
      <c r="G18" s="137"/>
      <c r="H18" s="129"/>
    </row>
    <row r="19" spans="3:9" ht="21.75" customHeight="1" x14ac:dyDescent="0.3">
      <c r="C19" s="138"/>
      <c r="D19" s="129" t="s">
        <v>397</v>
      </c>
      <c r="E19" s="129">
        <v>12.8</v>
      </c>
      <c r="F19" s="133">
        <f t="shared" si="1"/>
        <v>86.4</v>
      </c>
      <c r="G19" s="137"/>
      <c r="H19" s="129" t="s">
        <v>121</v>
      </c>
    </row>
    <row r="20" spans="3:9" ht="21.75" customHeight="1" x14ac:dyDescent="0.3">
      <c r="C20" s="138"/>
      <c r="D20" s="129" t="s">
        <v>398</v>
      </c>
      <c r="E20" s="129">
        <v>2.56</v>
      </c>
      <c r="F20" s="133">
        <f t="shared" si="1"/>
        <v>17.28</v>
      </c>
      <c r="G20" s="137"/>
      <c r="H20" s="129"/>
    </row>
    <row r="21" spans="3:9" ht="21" customHeight="1" x14ac:dyDescent="0.3">
      <c r="C21" s="138"/>
      <c r="D21" s="129" t="s">
        <v>399</v>
      </c>
      <c r="E21" s="129">
        <v>7.58</v>
      </c>
      <c r="F21" s="133">
        <f t="shared" si="1"/>
        <v>51.164999999999999</v>
      </c>
      <c r="G21" s="137"/>
      <c r="H21" s="129"/>
    </row>
    <row r="22" spans="3:9" ht="21" customHeight="1" x14ac:dyDescent="0.3">
      <c r="C22" s="138"/>
      <c r="D22" s="129" t="s">
        <v>400</v>
      </c>
      <c r="E22" s="129">
        <v>21.03</v>
      </c>
      <c r="F22" s="133">
        <f t="shared" si="1"/>
        <v>141.95250000000001</v>
      </c>
      <c r="G22" s="137"/>
      <c r="H22" s="129"/>
    </row>
    <row r="23" spans="3:9" ht="22.5" customHeight="1" x14ac:dyDescent="0.3">
      <c r="C23" s="138"/>
      <c r="D23" s="129" t="s">
        <v>401</v>
      </c>
      <c r="E23" s="129">
        <v>2.77</v>
      </c>
      <c r="F23" s="133">
        <f t="shared" si="1"/>
        <v>18.697500000000002</v>
      </c>
      <c r="G23" s="137"/>
      <c r="H23" s="129"/>
      <c r="I23" s="110"/>
    </row>
    <row r="24" spans="3:9" ht="23.25" customHeight="1" x14ac:dyDescent="0.3">
      <c r="C24" s="138"/>
      <c r="D24" s="129" t="s">
        <v>121</v>
      </c>
      <c r="E24" s="129"/>
      <c r="F24" s="133">
        <f t="shared" si="1"/>
        <v>0</v>
      </c>
      <c r="G24" s="137"/>
      <c r="H24" s="129"/>
      <c r="I24" s="110"/>
    </row>
    <row r="25" spans="3:9" ht="21.75" customHeight="1" x14ac:dyDescent="0.3">
      <c r="E25" s="129"/>
      <c r="F25" s="133">
        <f t="shared" si="1"/>
        <v>0</v>
      </c>
      <c r="G25" s="137"/>
      <c r="H25" s="129"/>
      <c r="I25" s="110"/>
    </row>
    <row r="26" spans="3:9" ht="21" customHeight="1" x14ac:dyDescent="0.3">
      <c r="E26" s="138">
        <f>SUM(E18:E25)</f>
        <v>50.430000000000007</v>
      </c>
      <c r="F26" s="139">
        <f>SUM(F18:F25)</f>
        <v>340.40250000000003</v>
      </c>
      <c r="G26" s="137"/>
      <c r="H26" s="129"/>
      <c r="I26" s="110"/>
    </row>
    <row r="27" spans="3:9" ht="21.75" customHeight="1" x14ac:dyDescent="0.3">
      <c r="I27" s="110"/>
    </row>
    <row r="28" spans="3:9" ht="19.5" customHeight="1" x14ac:dyDescent="0.25">
      <c r="D28" s="52"/>
      <c r="F28" s="52"/>
      <c r="G28" s="52"/>
      <c r="I28" s="110"/>
    </row>
    <row r="29" spans="3:9" ht="19.5" customHeight="1" x14ac:dyDescent="0.25">
      <c r="D29" s="52"/>
      <c r="F29" s="52"/>
      <c r="G29" s="52"/>
      <c r="I29" s="110"/>
    </row>
    <row r="30" spans="3:9" ht="20.25" customHeight="1" x14ac:dyDescent="0.25">
      <c r="D30" s="52"/>
      <c r="F30" s="52"/>
      <c r="G30" s="52"/>
      <c r="I30" s="110"/>
    </row>
    <row r="31" spans="3:9" ht="20.25" customHeight="1" x14ac:dyDescent="0.25">
      <c r="D31" s="52"/>
      <c r="F31" s="52"/>
      <c r="G31" s="52"/>
      <c r="I31" s="110"/>
    </row>
    <row r="32" spans="3:9" ht="20.25" customHeight="1" x14ac:dyDescent="0.25">
      <c r="D32" s="52"/>
      <c r="F32" s="52"/>
      <c r="G32" s="52"/>
      <c r="I32" s="110"/>
    </row>
    <row r="33" spans="4:9" ht="18" customHeight="1" x14ac:dyDescent="0.25">
      <c r="D33" s="52"/>
      <c r="F33" s="52"/>
      <c r="G33" s="52"/>
      <c r="I33" s="110"/>
    </row>
    <row r="34" spans="4:9" ht="30" customHeight="1" x14ac:dyDescent="0.25">
      <c r="D34" s="52"/>
      <c r="F34" s="52"/>
      <c r="G34" s="52"/>
    </row>
    <row r="35" spans="4:9" ht="27.75" customHeight="1" x14ac:dyDescent="0.25">
      <c r="D35" s="52"/>
      <c r="F35" s="52"/>
      <c r="G35" s="52"/>
    </row>
    <row r="36" spans="4:9" ht="30.75" customHeight="1" x14ac:dyDescent="0.25">
      <c r="D36" s="52"/>
      <c r="F36" s="52"/>
      <c r="G36" s="52"/>
    </row>
    <row r="37" spans="4:9" ht="29.25" customHeight="1" x14ac:dyDescent="0.25">
      <c r="D37" s="52"/>
      <c r="F37" s="52"/>
      <c r="G37" s="52"/>
    </row>
    <row r="38" spans="4:9" ht="29.25" customHeight="1" x14ac:dyDescent="0.25">
      <c r="D38" s="52"/>
      <c r="F38" s="52"/>
      <c r="G38" s="52"/>
    </row>
    <row r="39" spans="4:9" ht="30.75" customHeight="1" x14ac:dyDescent="0.25">
      <c r="D39" s="52"/>
      <c r="F39" s="52"/>
      <c r="G39" s="52"/>
    </row>
    <row r="40" spans="4:9" ht="27" customHeight="1" x14ac:dyDescent="0.3"/>
    <row r="41" spans="4:9" ht="28.5" customHeight="1" x14ac:dyDescent="0.3"/>
    <row r="42" spans="4:9" ht="27" customHeight="1" x14ac:dyDescent="0.3"/>
    <row r="43" spans="4:9" ht="29.25" customHeight="1" x14ac:dyDescent="0.3"/>
    <row r="44" spans="4:9" ht="29.25" customHeight="1" x14ac:dyDescent="0.3"/>
    <row r="45" spans="4:9" ht="30" customHeight="1" x14ac:dyDescent="0.3"/>
    <row r="46" spans="4:9" ht="27" customHeight="1" x14ac:dyDescent="0.3"/>
    <row r="47" spans="4:9" ht="28.5" customHeight="1" x14ac:dyDescent="0.3"/>
    <row r="48" spans="4:9" ht="29.4" customHeight="1" x14ac:dyDescent="0.3"/>
    <row r="49" ht="31.5" customHeight="1" x14ac:dyDescent="0.3"/>
    <row r="50" ht="29.25" customHeight="1" x14ac:dyDescent="0.3"/>
    <row r="51" ht="29.25" customHeight="1" x14ac:dyDescent="0.3"/>
    <row r="52" ht="30" customHeight="1" x14ac:dyDescent="0.3"/>
    <row r="53" ht="27.75" customHeight="1" x14ac:dyDescent="0.3"/>
    <row r="54" ht="23.4" customHeight="1" x14ac:dyDescent="0.3"/>
    <row r="55" ht="23.4" customHeight="1" x14ac:dyDescent="0.3"/>
    <row r="56" ht="20.100000000000001" customHeight="1" x14ac:dyDescent="0.3"/>
    <row r="57" ht="22.5" customHeight="1" x14ac:dyDescent="0.3"/>
    <row r="58" ht="20.100000000000001" customHeight="1" x14ac:dyDescent="0.3"/>
    <row r="59" ht="20.399999999999999" customHeight="1" x14ac:dyDescent="0.3"/>
    <row r="60" ht="22.5" customHeight="1" x14ac:dyDescent="0.3"/>
  </sheetData>
  <sortState xmlns:xlrd2="http://schemas.microsoft.com/office/spreadsheetml/2017/richdata2" ref="D5:I15">
    <sortCondition ref="I5:I15"/>
  </sortState>
  <mergeCells count="1">
    <mergeCell ref="C1:H1"/>
  </mergeCells>
  <conditionalFormatting sqref="F18:F24"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{71BF42C8-AFE2-47A3-B934-83955571EA58}</x14:id>
        </ext>
      </extLst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{B0A087F5-B8D6-44F5-93EC-081818461E71}</x14:id>
        </ext>
      </extLst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71"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F42C8-AFE2-47A3-B934-83955571EA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F18:F24</xm:sqref>
        </x14:conditionalFormatting>
        <x14:conditionalFormatting xmlns:xm="http://schemas.microsoft.com/office/excel/2006/main">
          <x14:cfRule type="dataBar" id="{B0A087F5-B8D6-44F5-93EC-081818461E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>
    <pageSetUpPr fitToPage="1"/>
  </sheetPr>
  <dimension ref="A1:W43"/>
  <sheetViews>
    <sheetView topLeftCell="I1" zoomScale="85" zoomScaleNormal="85" workbookViewId="0">
      <selection activeCell="Q21" sqref="Q21"/>
    </sheetView>
  </sheetViews>
  <sheetFormatPr baseColWidth="10" defaultColWidth="10.77734375" defaultRowHeight="13.8" x14ac:dyDescent="0.25"/>
  <cols>
    <col min="1" max="1" width="5.6640625" style="52" customWidth="1"/>
    <col min="2" max="2" width="31.88671875" style="52" customWidth="1"/>
    <col min="3" max="3" width="8.77734375" style="52" customWidth="1"/>
    <col min="4" max="4" width="11" style="52" customWidth="1"/>
    <col min="5" max="5" width="14.6640625" style="52" customWidth="1"/>
    <col min="6" max="6" width="11.21875" style="52" customWidth="1"/>
    <col min="7" max="7" width="17" style="52" customWidth="1"/>
    <col min="8" max="9" width="31.33203125" style="52" customWidth="1"/>
    <col min="10" max="10" width="4.77734375" style="52" customWidth="1"/>
    <col min="11" max="11" width="31.21875" style="57" customWidth="1"/>
    <col min="12" max="12" width="8.21875" style="51" customWidth="1"/>
    <col min="13" max="13" width="9.6640625" style="52" customWidth="1"/>
    <col min="14" max="14" width="19.77734375" style="52" customWidth="1"/>
    <col min="15" max="15" width="32.21875" style="52" customWidth="1"/>
    <col min="16" max="17" width="10.77734375" style="52"/>
    <col min="18" max="18" width="29" style="52" customWidth="1"/>
    <col min="19" max="19" width="7.6640625" style="52" customWidth="1"/>
    <col min="20" max="20" width="12" style="52" customWidth="1"/>
    <col min="21" max="21" width="13.33203125" style="52" customWidth="1"/>
    <col min="22" max="22" width="29" style="52" customWidth="1"/>
    <col min="23" max="24" width="11" style="52" customWidth="1"/>
    <col min="25" max="37" width="10" style="52" customWidth="1"/>
    <col min="38" max="16384" width="10.77734375" style="52"/>
  </cols>
  <sheetData>
    <row r="1" spans="1:23" ht="43.5" customHeight="1" thickBot="1" x14ac:dyDescent="0.3">
      <c r="A1" s="366" t="s">
        <v>369</v>
      </c>
      <c r="B1" s="366"/>
      <c r="C1" s="366"/>
      <c r="D1" s="366"/>
      <c r="E1" s="366"/>
      <c r="F1" s="366"/>
      <c r="G1" s="366"/>
      <c r="H1" s="366"/>
      <c r="I1" s="200"/>
      <c r="J1" s="52" t="s">
        <v>121</v>
      </c>
      <c r="K1" s="368" t="s">
        <v>422</v>
      </c>
      <c r="L1" s="368"/>
      <c r="M1" s="368"/>
      <c r="N1" s="368"/>
      <c r="O1" s="368"/>
    </row>
    <row r="2" spans="1:23" ht="19.2" x14ac:dyDescent="0.35">
      <c r="A2" s="53" t="s">
        <v>2</v>
      </c>
      <c r="B2" s="69" t="s">
        <v>27</v>
      </c>
      <c r="C2" s="67" t="s">
        <v>102</v>
      </c>
      <c r="D2" s="67" t="s">
        <v>87</v>
      </c>
      <c r="E2" s="67" t="s">
        <v>0</v>
      </c>
      <c r="F2" s="67" t="s">
        <v>158</v>
      </c>
      <c r="G2" s="67" t="s">
        <v>173</v>
      </c>
      <c r="H2" s="67" t="s">
        <v>28</v>
      </c>
      <c r="I2" s="65"/>
      <c r="J2" s="53" t="s">
        <v>2</v>
      </c>
      <c r="K2" s="74" t="s">
        <v>27</v>
      </c>
      <c r="L2" s="73" t="s">
        <v>102</v>
      </c>
      <c r="M2" s="73" t="s">
        <v>87</v>
      </c>
      <c r="N2" s="73" t="s">
        <v>0</v>
      </c>
      <c r="O2" s="73" t="s">
        <v>28</v>
      </c>
      <c r="V2" s="35"/>
      <c r="W2" s="35"/>
    </row>
    <row r="3" spans="1:23" ht="28.5" customHeight="1" x14ac:dyDescent="0.35">
      <c r="A3" s="29">
        <v>1</v>
      </c>
      <c r="B3" s="50" t="s">
        <v>100</v>
      </c>
      <c r="C3" s="31">
        <v>26</v>
      </c>
      <c r="D3" s="29">
        <v>2300</v>
      </c>
      <c r="E3" s="29">
        <f t="shared" ref="E3" si="0">PRODUCT(C3:D3)</f>
        <v>59800</v>
      </c>
      <c r="F3" s="29">
        <v>3000</v>
      </c>
      <c r="G3" s="29">
        <f t="shared" ref="G3:G19" si="1">SUM(E3:F3)</f>
        <v>62800</v>
      </c>
      <c r="H3" s="30" t="s">
        <v>103</v>
      </c>
      <c r="I3" s="65"/>
      <c r="J3" s="54">
        <v>1</v>
      </c>
      <c r="K3" s="56" t="s">
        <v>107</v>
      </c>
      <c r="L3" s="31">
        <v>28</v>
      </c>
      <c r="M3" s="29">
        <v>2000</v>
      </c>
      <c r="N3" s="55">
        <f t="shared" ref="N3:N14" si="2">PRODUCT(L3:M3)</f>
        <v>56000</v>
      </c>
      <c r="O3" s="29" t="s">
        <v>108</v>
      </c>
      <c r="V3" s="35"/>
      <c r="W3" s="35"/>
    </row>
    <row r="4" spans="1:23" ht="30.75" customHeight="1" x14ac:dyDescent="0.35">
      <c r="A4" s="29">
        <v>3</v>
      </c>
      <c r="B4" s="50" t="s">
        <v>179</v>
      </c>
      <c r="C4" s="31">
        <v>30</v>
      </c>
      <c r="D4" s="27">
        <v>2300</v>
      </c>
      <c r="E4" s="29">
        <v>70000</v>
      </c>
      <c r="F4" s="29">
        <v>3000</v>
      </c>
      <c r="G4" s="29">
        <f t="shared" si="1"/>
        <v>73000</v>
      </c>
      <c r="H4" s="30" t="s">
        <v>184</v>
      </c>
      <c r="I4" s="65"/>
      <c r="J4" s="54">
        <v>2</v>
      </c>
      <c r="K4" s="56" t="s">
        <v>431</v>
      </c>
      <c r="L4" s="31">
        <v>21</v>
      </c>
      <c r="M4" s="29">
        <v>2000</v>
      </c>
      <c r="N4" s="55">
        <f t="shared" si="2"/>
        <v>42000</v>
      </c>
      <c r="O4" s="29" t="s">
        <v>252</v>
      </c>
      <c r="V4" s="35"/>
      <c r="W4" s="35"/>
    </row>
    <row r="5" spans="1:23" ht="28.5" customHeight="1" x14ac:dyDescent="0.35">
      <c r="A5" s="29">
        <v>4</v>
      </c>
      <c r="B5" s="50" t="s">
        <v>101</v>
      </c>
      <c r="C5" s="31">
        <v>29</v>
      </c>
      <c r="D5" s="29">
        <v>2300</v>
      </c>
      <c r="E5" s="29">
        <f>PRODUCT(C5:D5)</f>
        <v>66700</v>
      </c>
      <c r="F5" s="29">
        <v>3000</v>
      </c>
      <c r="G5" s="29">
        <f t="shared" si="1"/>
        <v>69700</v>
      </c>
      <c r="H5" s="31" t="s">
        <v>104</v>
      </c>
      <c r="I5" s="65"/>
      <c r="J5" s="54">
        <v>3</v>
      </c>
      <c r="K5" s="50" t="s">
        <v>303</v>
      </c>
      <c r="L5" s="31">
        <v>22</v>
      </c>
      <c r="M5" s="29">
        <v>2000</v>
      </c>
      <c r="N5" s="55">
        <f t="shared" si="2"/>
        <v>44000</v>
      </c>
      <c r="O5" s="27" t="s">
        <v>309</v>
      </c>
      <c r="V5" s="35"/>
      <c r="W5" s="35"/>
    </row>
    <row r="6" spans="1:23" ht="27.75" customHeight="1" x14ac:dyDescent="0.35">
      <c r="A6" s="29">
        <v>5</v>
      </c>
      <c r="B6" s="50" t="s">
        <v>138</v>
      </c>
      <c r="C6" s="31">
        <v>24</v>
      </c>
      <c r="D6" s="29">
        <v>2300</v>
      </c>
      <c r="E6" s="29">
        <f>PRODUCT(C6:D6)</f>
        <v>55200</v>
      </c>
      <c r="F6" s="29">
        <v>3000</v>
      </c>
      <c r="G6" s="29">
        <f t="shared" si="1"/>
        <v>58200</v>
      </c>
      <c r="H6" s="29" t="s">
        <v>286</v>
      </c>
      <c r="I6" s="65"/>
      <c r="J6" s="54">
        <v>4</v>
      </c>
      <c r="K6" s="39" t="s">
        <v>248</v>
      </c>
      <c r="L6" s="31">
        <v>25</v>
      </c>
      <c r="M6" s="29">
        <v>2000</v>
      </c>
      <c r="N6" s="55">
        <f t="shared" si="2"/>
        <v>50000</v>
      </c>
      <c r="O6" s="29" t="s">
        <v>247</v>
      </c>
      <c r="V6" s="35"/>
      <c r="W6" s="35"/>
    </row>
    <row r="7" spans="1:23" ht="27.75" customHeight="1" x14ac:dyDescent="0.35">
      <c r="A7" s="29">
        <v>6</v>
      </c>
      <c r="B7" s="50" t="s">
        <v>81</v>
      </c>
      <c r="C7" s="31">
        <v>28</v>
      </c>
      <c r="D7" s="29">
        <v>2300</v>
      </c>
      <c r="E7" s="29">
        <f>PRODUCT(C7:D7)</f>
        <v>64400</v>
      </c>
      <c r="F7" s="29">
        <v>3000</v>
      </c>
      <c r="G7" s="29">
        <f t="shared" si="1"/>
        <v>67400</v>
      </c>
      <c r="H7" s="30" t="s">
        <v>21</v>
      </c>
      <c r="I7" s="65"/>
      <c r="J7" s="54">
        <v>5</v>
      </c>
      <c r="K7" s="50" t="s">
        <v>218</v>
      </c>
      <c r="L7" s="31">
        <v>28</v>
      </c>
      <c r="M7" s="29">
        <v>2000</v>
      </c>
      <c r="N7" s="55">
        <f t="shared" si="2"/>
        <v>56000</v>
      </c>
      <c r="O7" s="131" t="s">
        <v>371</v>
      </c>
      <c r="V7" s="35"/>
      <c r="W7" s="35"/>
    </row>
    <row r="8" spans="1:23" ht="24" customHeight="1" x14ac:dyDescent="0.35">
      <c r="A8" s="29">
        <v>7</v>
      </c>
      <c r="B8" s="50" t="s">
        <v>83</v>
      </c>
      <c r="C8" s="31">
        <v>30</v>
      </c>
      <c r="D8" s="27">
        <v>2300</v>
      </c>
      <c r="E8" s="29">
        <v>70000</v>
      </c>
      <c r="F8" s="29">
        <v>3000</v>
      </c>
      <c r="G8" s="29">
        <f t="shared" si="1"/>
        <v>73000</v>
      </c>
      <c r="H8" s="30" t="s">
        <v>19</v>
      </c>
      <c r="I8" s="65"/>
      <c r="J8" s="54">
        <v>6</v>
      </c>
      <c r="K8" s="50" t="s">
        <v>185</v>
      </c>
      <c r="L8" s="31">
        <v>10</v>
      </c>
      <c r="M8" s="29">
        <v>2000</v>
      </c>
      <c r="N8" s="55">
        <f t="shared" si="2"/>
        <v>20000</v>
      </c>
      <c r="O8" s="131" t="s">
        <v>190</v>
      </c>
      <c r="V8" s="35"/>
      <c r="W8" s="35"/>
    </row>
    <row r="9" spans="1:23" ht="27" customHeight="1" x14ac:dyDescent="0.35">
      <c r="A9" s="29">
        <v>8</v>
      </c>
      <c r="B9" s="49" t="s">
        <v>215</v>
      </c>
      <c r="C9" s="31">
        <v>18</v>
      </c>
      <c r="D9" s="29">
        <v>2300</v>
      </c>
      <c r="E9" s="29">
        <f>PRODUCT(C9:D9)</f>
        <v>41400</v>
      </c>
      <c r="F9" s="29">
        <v>3000</v>
      </c>
      <c r="G9" s="29">
        <f t="shared" si="1"/>
        <v>44400</v>
      </c>
      <c r="H9" s="30" t="s">
        <v>217</v>
      </c>
      <c r="I9" s="65"/>
      <c r="J9" s="54">
        <v>7</v>
      </c>
      <c r="K9" s="50" t="s">
        <v>245</v>
      </c>
      <c r="L9" s="31">
        <v>29</v>
      </c>
      <c r="M9" s="29">
        <v>2000</v>
      </c>
      <c r="N9" s="55">
        <f t="shared" si="2"/>
        <v>58000</v>
      </c>
      <c r="O9" s="131" t="s">
        <v>246</v>
      </c>
      <c r="V9" s="35"/>
      <c r="W9" s="35"/>
    </row>
    <row r="10" spans="1:23" ht="30" customHeight="1" x14ac:dyDescent="0.35">
      <c r="A10" s="29">
        <v>9</v>
      </c>
      <c r="B10" s="49" t="s">
        <v>82</v>
      </c>
      <c r="C10" s="31">
        <v>30</v>
      </c>
      <c r="D10" s="29">
        <v>2300</v>
      </c>
      <c r="E10" s="29">
        <v>70000</v>
      </c>
      <c r="F10" s="29">
        <v>3000</v>
      </c>
      <c r="G10" s="29">
        <f t="shared" si="1"/>
        <v>73000</v>
      </c>
      <c r="H10" s="30" t="s">
        <v>17</v>
      </c>
      <c r="I10" s="65"/>
      <c r="J10" s="54">
        <v>8</v>
      </c>
      <c r="K10" s="58" t="s">
        <v>267</v>
      </c>
      <c r="L10" s="31">
        <v>30</v>
      </c>
      <c r="M10" s="29">
        <v>2000</v>
      </c>
      <c r="N10" s="55">
        <f t="shared" si="2"/>
        <v>60000</v>
      </c>
      <c r="O10" s="27" t="s">
        <v>160</v>
      </c>
      <c r="V10" s="35"/>
      <c r="W10" s="35"/>
    </row>
    <row r="11" spans="1:23" ht="27.75" customHeight="1" x14ac:dyDescent="0.35">
      <c r="A11" s="29">
        <v>10</v>
      </c>
      <c r="B11" s="50" t="s">
        <v>180</v>
      </c>
      <c r="C11" s="31">
        <v>30</v>
      </c>
      <c r="D11" s="27">
        <v>2300</v>
      </c>
      <c r="E11" s="29">
        <v>70000</v>
      </c>
      <c r="F11" s="29">
        <v>3000</v>
      </c>
      <c r="G11" s="29">
        <f t="shared" si="1"/>
        <v>73000</v>
      </c>
      <c r="H11" s="30" t="s">
        <v>13</v>
      </c>
      <c r="I11" s="65"/>
      <c r="J11" s="54">
        <v>9</v>
      </c>
      <c r="K11" s="50" t="s">
        <v>186</v>
      </c>
      <c r="L11" s="31">
        <v>18</v>
      </c>
      <c r="M11" s="29">
        <v>2000</v>
      </c>
      <c r="N11" s="55">
        <f t="shared" si="2"/>
        <v>36000</v>
      </c>
      <c r="O11" s="188" t="s">
        <v>137</v>
      </c>
      <c r="V11" s="35"/>
      <c r="W11" s="35"/>
    </row>
    <row r="12" spans="1:23" ht="27.75" customHeight="1" x14ac:dyDescent="0.35">
      <c r="A12" s="29">
        <v>11</v>
      </c>
      <c r="B12" s="49" t="s">
        <v>214</v>
      </c>
      <c r="C12" s="31">
        <v>28</v>
      </c>
      <c r="D12" s="27">
        <v>2300</v>
      </c>
      <c r="E12" s="29">
        <f>PRODUCT(C12:D12)</f>
        <v>64400</v>
      </c>
      <c r="F12" s="29">
        <v>3000</v>
      </c>
      <c r="G12" s="29">
        <f t="shared" si="1"/>
        <v>67400</v>
      </c>
      <c r="H12" s="29" t="s">
        <v>216</v>
      </c>
      <c r="I12" s="65"/>
      <c r="J12" s="54">
        <v>10</v>
      </c>
      <c r="K12" s="56" t="s">
        <v>106</v>
      </c>
      <c r="L12" s="31">
        <v>29</v>
      </c>
      <c r="M12" s="29">
        <v>2000</v>
      </c>
      <c r="N12" s="55">
        <f t="shared" si="2"/>
        <v>58000</v>
      </c>
      <c r="O12" s="131" t="s">
        <v>137</v>
      </c>
      <c r="V12" s="35"/>
      <c r="W12" s="35"/>
    </row>
    <row r="13" spans="1:23" ht="24.75" customHeight="1" x14ac:dyDescent="0.35">
      <c r="A13" s="29">
        <v>12</v>
      </c>
      <c r="B13" s="50" t="s">
        <v>159</v>
      </c>
      <c r="C13" s="31">
        <v>17</v>
      </c>
      <c r="D13" s="72">
        <v>2300</v>
      </c>
      <c r="E13" s="29">
        <f>PRODUCT(C13:D13)</f>
        <v>39100</v>
      </c>
      <c r="F13" s="29">
        <v>3000</v>
      </c>
      <c r="G13" s="29">
        <f t="shared" si="1"/>
        <v>42100</v>
      </c>
      <c r="H13" s="29" t="s">
        <v>161</v>
      </c>
      <c r="I13" s="65"/>
      <c r="J13" s="54">
        <v>11</v>
      </c>
      <c r="K13" s="50" t="s">
        <v>188</v>
      </c>
      <c r="L13" s="31">
        <v>30</v>
      </c>
      <c r="M13" s="29">
        <v>2000</v>
      </c>
      <c r="N13" s="55">
        <f t="shared" si="2"/>
        <v>60000</v>
      </c>
      <c r="O13" s="29" t="s">
        <v>192</v>
      </c>
      <c r="V13" s="35"/>
      <c r="W13" s="35"/>
    </row>
    <row r="14" spans="1:23" ht="27" customHeight="1" x14ac:dyDescent="0.35">
      <c r="A14" s="29">
        <v>13</v>
      </c>
      <c r="B14" s="49" t="s">
        <v>413</v>
      </c>
      <c r="C14" s="31">
        <v>6</v>
      </c>
      <c r="D14" s="29">
        <v>2300</v>
      </c>
      <c r="E14" s="29">
        <f>PRODUCT(C14:D14)</f>
        <v>13800</v>
      </c>
      <c r="F14" s="29">
        <v>3000</v>
      </c>
      <c r="G14" s="29">
        <f t="shared" si="1"/>
        <v>16800</v>
      </c>
      <c r="H14" s="30" t="s">
        <v>429</v>
      </c>
      <c r="I14" s="65"/>
      <c r="J14" s="54">
        <v>12</v>
      </c>
      <c r="K14" s="50" t="s">
        <v>187</v>
      </c>
      <c r="L14" s="31">
        <v>30</v>
      </c>
      <c r="M14" s="29">
        <v>2000</v>
      </c>
      <c r="N14" s="55">
        <f t="shared" si="2"/>
        <v>60000</v>
      </c>
      <c r="O14" s="29" t="s">
        <v>191</v>
      </c>
      <c r="V14" s="35"/>
      <c r="W14" s="35"/>
    </row>
    <row r="15" spans="1:23" ht="29.4" customHeight="1" x14ac:dyDescent="0.35">
      <c r="A15" s="29">
        <v>14</v>
      </c>
      <c r="B15" s="50" t="s">
        <v>304</v>
      </c>
      <c r="C15" s="30">
        <v>20</v>
      </c>
      <c r="D15" s="29">
        <v>2300</v>
      </c>
      <c r="E15" s="29">
        <f>PRODUCT(C15:D15)</f>
        <v>46000</v>
      </c>
      <c r="F15" s="29">
        <v>3000</v>
      </c>
      <c r="G15" s="29">
        <f t="shared" si="1"/>
        <v>49000</v>
      </c>
      <c r="H15" s="279" t="s">
        <v>189</v>
      </c>
      <c r="I15" s="65"/>
      <c r="J15" s="369" t="s">
        <v>1</v>
      </c>
      <c r="K15" s="370"/>
      <c r="L15" s="156">
        <f>SUM(L3:L14)</f>
        <v>300</v>
      </c>
      <c r="M15" s="151"/>
      <c r="N15" s="151">
        <f>SUM(N3:N14)</f>
        <v>600000</v>
      </c>
      <c r="O15" s="152"/>
      <c r="V15" s="35"/>
      <c r="W15" s="35"/>
    </row>
    <row r="16" spans="1:23" ht="29.25" customHeight="1" x14ac:dyDescent="0.35">
      <c r="A16" s="29">
        <v>15</v>
      </c>
      <c r="B16" s="49" t="s">
        <v>181</v>
      </c>
      <c r="C16" s="31">
        <v>29</v>
      </c>
      <c r="D16" s="29">
        <v>2300</v>
      </c>
      <c r="E16" s="29">
        <f>PRODUCT(C16:D16)</f>
        <v>66700</v>
      </c>
      <c r="F16" s="29">
        <v>3000</v>
      </c>
      <c r="G16" s="29">
        <f t="shared" si="1"/>
        <v>69700</v>
      </c>
      <c r="H16" s="30" t="s">
        <v>26</v>
      </c>
      <c r="I16" s="65"/>
      <c r="V16" s="35"/>
    </row>
    <row r="17" spans="1:22" ht="27" customHeight="1" x14ac:dyDescent="0.35">
      <c r="A17" s="29">
        <v>16</v>
      </c>
      <c r="B17" s="49" t="s">
        <v>182</v>
      </c>
      <c r="C17" s="31">
        <v>30</v>
      </c>
      <c r="D17" s="29">
        <v>2300</v>
      </c>
      <c r="E17" s="29">
        <v>70000</v>
      </c>
      <c r="F17" s="29">
        <v>3000</v>
      </c>
      <c r="G17" s="29">
        <f t="shared" si="1"/>
        <v>73000</v>
      </c>
      <c r="H17" s="30" t="s">
        <v>18</v>
      </c>
      <c r="I17" s="65"/>
      <c r="V17" s="35"/>
    </row>
    <row r="18" spans="1:22" ht="25.5" customHeight="1" x14ac:dyDescent="0.35">
      <c r="A18" s="29">
        <v>17</v>
      </c>
      <c r="B18" s="49" t="s">
        <v>84</v>
      </c>
      <c r="C18" s="31">
        <v>30</v>
      </c>
      <c r="D18" s="29">
        <v>2300</v>
      </c>
      <c r="E18" s="29">
        <v>70000</v>
      </c>
      <c r="F18" s="29">
        <v>3000</v>
      </c>
      <c r="G18" s="29">
        <f t="shared" si="1"/>
        <v>73000</v>
      </c>
      <c r="H18" s="30" t="s">
        <v>20</v>
      </c>
      <c r="I18" s="65"/>
    </row>
    <row r="19" spans="1:22" ht="26.25" customHeight="1" x14ac:dyDescent="0.35">
      <c r="A19" s="29">
        <v>18</v>
      </c>
      <c r="B19" s="49" t="s">
        <v>183</v>
      </c>
      <c r="C19" s="31">
        <v>29</v>
      </c>
      <c r="D19" s="29">
        <v>2300</v>
      </c>
      <c r="E19" s="29">
        <f>PRODUCT(C19:D19)</f>
        <v>66700</v>
      </c>
      <c r="F19" s="29">
        <v>3000</v>
      </c>
      <c r="G19" s="29">
        <f t="shared" si="1"/>
        <v>69700</v>
      </c>
      <c r="H19" s="48" t="s">
        <v>210</v>
      </c>
      <c r="I19" s="168"/>
    </row>
    <row r="20" spans="1:22" ht="24.75" customHeight="1" thickBot="1" x14ac:dyDescent="0.4">
      <c r="A20" s="130"/>
      <c r="B20" s="130"/>
      <c r="C20" s="212">
        <f>SUM(C3:C19)</f>
        <v>434</v>
      </c>
      <c r="D20" s="130"/>
      <c r="E20" s="213">
        <f>SUM(E3:E19)</f>
        <v>1004200</v>
      </c>
      <c r="F20" s="213">
        <f>SUM(F3:F19)</f>
        <v>51000</v>
      </c>
      <c r="G20" s="213">
        <f>SUM(G3:G19)</f>
        <v>1055200</v>
      </c>
      <c r="H20" s="130"/>
      <c r="I20" s="130"/>
    </row>
    <row r="21" spans="1:22" ht="27" customHeight="1" x14ac:dyDescent="0.35">
      <c r="A21" s="130"/>
      <c r="B21" s="130"/>
      <c r="C21" s="130"/>
      <c r="D21" s="130"/>
      <c r="E21" s="130"/>
      <c r="F21" s="130"/>
      <c r="G21" s="130"/>
      <c r="H21" s="130"/>
      <c r="I21" s="130"/>
    </row>
    <row r="22" spans="1:22" ht="27" customHeight="1" x14ac:dyDescent="0.35">
      <c r="A22" s="130"/>
      <c r="B22" s="130"/>
      <c r="C22" s="130"/>
      <c r="D22" s="130"/>
      <c r="E22" s="130"/>
      <c r="F22" s="130"/>
      <c r="G22" s="130"/>
      <c r="H22" s="130"/>
      <c r="I22" s="130"/>
    </row>
    <row r="23" spans="1:22" ht="27" customHeight="1" x14ac:dyDescent="0.35">
      <c r="A23" s="130"/>
      <c r="B23" s="366" t="s">
        <v>370</v>
      </c>
      <c r="C23" s="366"/>
      <c r="D23" s="366"/>
      <c r="E23" s="366"/>
      <c r="F23" s="366"/>
      <c r="G23" s="366"/>
      <c r="H23" s="366"/>
      <c r="I23" s="200"/>
    </row>
    <row r="24" spans="1:22" ht="23.25" customHeight="1" x14ac:dyDescent="0.35">
      <c r="A24" s="130"/>
      <c r="B24" s="367"/>
      <c r="C24" s="367"/>
      <c r="D24" s="367"/>
      <c r="E24" s="367"/>
      <c r="F24" s="367"/>
      <c r="G24" s="367"/>
      <c r="H24" s="367"/>
      <c r="I24" s="200"/>
    </row>
    <row r="25" spans="1:22" ht="18" customHeight="1" x14ac:dyDescent="0.3">
      <c r="A25" s="53" t="s">
        <v>2</v>
      </c>
      <c r="B25" s="69" t="s">
        <v>27</v>
      </c>
      <c r="C25" s="67" t="s">
        <v>102</v>
      </c>
      <c r="D25" s="67" t="s">
        <v>87</v>
      </c>
      <c r="E25" s="67" t="s">
        <v>0</v>
      </c>
      <c r="F25" s="67" t="s">
        <v>158</v>
      </c>
      <c r="G25" s="67" t="s">
        <v>173</v>
      </c>
      <c r="H25" s="67" t="s">
        <v>28</v>
      </c>
      <c r="I25" s="200"/>
    </row>
    <row r="26" spans="1:22" ht="23.4" customHeight="1" x14ac:dyDescent="0.35">
      <c r="A26" s="29">
        <v>1</v>
      </c>
      <c r="B26" s="50" t="s">
        <v>213</v>
      </c>
      <c r="C26" s="30">
        <v>9</v>
      </c>
      <c r="D26" s="31">
        <v>2300</v>
      </c>
      <c r="E26" s="58">
        <f>PRODUCT(C26:D26)</f>
        <v>20700</v>
      </c>
      <c r="F26" s="29">
        <v>3000</v>
      </c>
      <c r="G26" s="29">
        <f t="shared" ref="G26" si="3">SUM(E26:F26)</f>
        <v>23700</v>
      </c>
      <c r="H26" s="280" t="s">
        <v>287</v>
      </c>
      <c r="I26" s="200"/>
    </row>
    <row r="27" spans="1:22" ht="21" customHeight="1" x14ac:dyDescent="0.35">
      <c r="A27" s="29">
        <v>2</v>
      </c>
      <c r="B27" s="50" t="s">
        <v>80</v>
      </c>
      <c r="C27" s="30">
        <v>30</v>
      </c>
      <c r="D27" s="29">
        <v>2300</v>
      </c>
      <c r="E27" s="58">
        <v>70000</v>
      </c>
      <c r="F27" s="29">
        <v>3000</v>
      </c>
      <c r="G27" s="29">
        <f t="shared" ref="G27:G35" si="4">SUM(E27:F27)</f>
        <v>73000</v>
      </c>
      <c r="H27" s="30" t="s">
        <v>14</v>
      </c>
      <c r="I27" s="200"/>
    </row>
    <row r="28" spans="1:22" ht="21.9" customHeight="1" x14ac:dyDescent="0.35">
      <c r="A28" s="29">
        <v>3</v>
      </c>
      <c r="B28" s="50" t="s">
        <v>301</v>
      </c>
      <c r="C28" s="30">
        <v>30</v>
      </c>
      <c r="D28" s="27">
        <v>2300</v>
      </c>
      <c r="E28" s="58">
        <v>70000</v>
      </c>
      <c r="F28" s="29">
        <v>3000</v>
      </c>
      <c r="G28" s="29">
        <f t="shared" si="4"/>
        <v>73000</v>
      </c>
      <c r="H28" s="281" t="s">
        <v>343</v>
      </c>
      <c r="I28" s="200"/>
    </row>
    <row r="29" spans="1:22" ht="21.9" customHeight="1" x14ac:dyDescent="0.35">
      <c r="A29" s="29">
        <v>4</v>
      </c>
      <c r="B29" s="50" t="s">
        <v>79</v>
      </c>
      <c r="C29" s="30">
        <v>30</v>
      </c>
      <c r="D29" s="29">
        <v>2300</v>
      </c>
      <c r="E29" s="58">
        <v>70000</v>
      </c>
      <c r="F29" s="29">
        <v>3000</v>
      </c>
      <c r="G29" s="29">
        <f t="shared" si="4"/>
        <v>73000</v>
      </c>
      <c r="H29" s="30" t="s">
        <v>124</v>
      </c>
      <c r="I29" s="200"/>
      <c r="K29" s="214">
        <f>SUM(G20,N15,G37)</f>
        <v>2312200</v>
      </c>
    </row>
    <row r="30" spans="1:22" ht="20.399999999999999" x14ac:dyDescent="0.35">
      <c r="A30" s="29">
        <v>5</v>
      </c>
      <c r="B30" s="50" t="s">
        <v>163</v>
      </c>
      <c r="C30" s="30">
        <v>26</v>
      </c>
      <c r="D30" s="29">
        <v>2300</v>
      </c>
      <c r="E30" s="58">
        <f t="shared" ref="E30:E33" si="5">PRODUCT(C30:D30)</f>
        <v>59800</v>
      </c>
      <c r="F30" s="29">
        <v>3000</v>
      </c>
      <c r="G30" s="29">
        <f t="shared" si="4"/>
        <v>62800</v>
      </c>
      <c r="H30" s="30" t="s">
        <v>12</v>
      </c>
      <c r="I30" s="200"/>
    </row>
    <row r="31" spans="1:22" ht="20.399999999999999" x14ac:dyDescent="0.35">
      <c r="A31" s="29">
        <v>6</v>
      </c>
      <c r="B31" s="50" t="s">
        <v>302</v>
      </c>
      <c r="C31" s="30">
        <v>27</v>
      </c>
      <c r="D31" s="29">
        <v>2300</v>
      </c>
      <c r="E31" s="58">
        <f t="shared" si="5"/>
        <v>62100</v>
      </c>
      <c r="F31" s="29">
        <v>3000</v>
      </c>
      <c r="G31" s="29">
        <f t="shared" si="4"/>
        <v>65100</v>
      </c>
      <c r="H31" s="30" t="s">
        <v>340</v>
      </c>
      <c r="I31" s="200"/>
    </row>
    <row r="32" spans="1:22" ht="20.399999999999999" x14ac:dyDescent="0.35">
      <c r="A32" s="29">
        <v>7</v>
      </c>
      <c r="B32" s="50" t="s">
        <v>193</v>
      </c>
      <c r="C32" s="30">
        <v>30</v>
      </c>
      <c r="D32" s="29">
        <v>2300</v>
      </c>
      <c r="E32" s="58">
        <v>70000</v>
      </c>
      <c r="F32" s="29">
        <v>3000</v>
      </c>
      <c r="G32" s="29">
        <f t="shared" si="4"/>
        <v>73000</v>
      </c>
      <c r="H32" s="282" t="s">
        <v>197</v>
      </c>
      <c r="I32" s="200"/>
    </row>
    <row r="33" spans="1:9" ht="20.399999999999999" x14ac:dyDescent="0.35">
      <c r="A33" s="29">
        <v>8</v>
      </c>
      <c r="B33" s="50" t="s">
        <v>175</v>
      </c>
      <c r="C33" s="30">
        <v>28</v>
      </c>
      <c r="D33" s="29">
        <v>2300</v>
      </c>
      <c r="E33" s="58">
        <f t="shared" si="5"/>
        <v>64400</v>
      </c>
      <c r="F33" s="29">
        <v>3000</v>
      </c>
      <c r="G33" s="29">
        <f t="shared" si="4"/>
        <v>67400</v>
      </c>
      <c r="H33" s="30" t="s">
        <v>195</v>
      </c>
      <c r="I33" s="200"/>
    </row>
    <row r="34" spans="1:9" ht="20.399999999999999" x14ac:dyDescent="0.35">
      <c r="A34" s="29">
        <v>9</v>
      </c>
      <c r="B34" s="50" t="s">
        <v>194</v>
      </c>
      <c r="C34" s="30">
        <v>30</v>
      </c>
      <c r="D34" s="27">
        <v>2300</v>
      </c>
      <c r="E34" s="58">
        <v>70000</v>
      </c>
      <c r="F34" s="29">
        <v>3000</v>
      </c>
      <c r="G34" s="29">
        <f t="shared" si="4"/>
        <v>73000</v>
      </c>
      <c r="H34" s="30" t="s">
        <v>196</v>
      </c>
      <c r="I34" s="200"/>
    </row>
    <row r="35" spans="1:9" ht="19.2" x14ac:dyDescent="0.35">
      <c r="A35" s="29">
        <v>10</v>
      </c>
      <c r="B35" s="50" t="s">
        <v>341</v>
      </c>
      <c r="C35" s="30">
        <v>30</v>
      </c>
      <c r="D35" s="29">
        <v>2300</v>
      </c>
      <c r="E35" s="58">
        <v>70000</v>
      </c>
      <c r="F35" s="29">
        <v>3000</v>
      </c>
      <c r="G35" s="29">
        <f t="shared" si="4"/>
        <v>73000</v>
      </c>
      <c r="H35" s="278" t="s">
        <v>342</v>
      </c>
    </row>
    <row r="36" spans="1:9" ht="14.4" thickBot="1" x14ac:dyDescent="0.3"/>
    <row r="37" spans="1:9" ht="14.4" thickBot="1" x14ac:dyDescent="0.3">
      <c r="G37" s="154">
        <f>SUM(G26:G35)</f>
        <v>657000</v>
      </c>
    </row>
    <row r="38" spans="1:9" ht="19.5" customHeight="1" x14ac:dyDescent="0.25"/>
    <row r="40" spans="1:9" x14ac:dyDescent="0.25">
      <c r="A40" s="76"/>
    </row>
    <row r="43" spans="1:9" x14ac:dyDescent="0.25">
      <c r="B43" s="76"/>
      <c r="C43" s="76"/>
      <c r="D43" s="76"/>
      <c r="E43" s="76"/>
      <c r="F43" s="76"/>
      <c r="G43" s="76"/>
      <c r="H43" s="52" t="s">
        <v>121</v>
      </c>
    </row>
  </sheetData>
  <sortState xmlns:xlrd2="http://schemas.microsoft.com/office/spreadsheetml/2017/richdata2" ref="B4:H19">
    <sortCondition ref="H4:H19"/>
  </sortState>
  <mergeCells count="4">
    <mergeCell ref="B23:H24"/>
    <mergeCell ref="K1:O1"/>
    <mergeCell ref="J15:K15"/>
    <mergeCell ref="A1:H1"/>
  </mergeCells>
  <phoneticPr fontId="17" type="noConversion"/>
  <pageMargins left="0.7" right="0.7" top="0.75" bottom="0.75" header="0.3" footer="0.3"/>
  <pageSetup paperSize="9" scale="83" fitToWidth="0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9"/>
  <dimension ref="A1:Q201"/>
  <sheetViews>
    <sheetView tabSelected="1" zoomScale="85" zoomScaleNormal="85" workbookViewId="0">
      <selection activeCell="G7" sqref="G7"/>
    </sheetView>
  </sheetViews>
  <sheetFormatPr baseColWidth="10" defaultColWidth="10.77734375" defaultRowHeight="18" x14ac:dyDescent="0.35"/>
  <cols>
    <col min="1" max="1" width="6" style="42" customWidth="1"/>
    <col min="2" max="2" width="36" style="216" customWidth="1"/>
    <col min="3" max="3" width="28" style="174" customWidth="1"/>
    <col min="4" max="5" width="23.44140625" style="42" customWidth="1"/>
    <col min="6" max="6" width="6.77734375" style="42" customWidth="1"/>
    <col min="7" max="7" width="30.33203125" style="35" customWidth="1"/>
    <col min="8" max="8" width="26.77734375" style="178" customWidth="1"/>
    <col min="9" max="9" width="25.21875" style="42" customWidth="1"/>
    <col min="10" max="10" width="16" style="42" customWidth="1"/>
    <col min="11" max="11" width="5.88671875" style="42" customWidth="1"/>
    <col min="12" max="12" width="34" style="43" customWidth="1"/>
    <col min="13" max="13" width="26.77734375" style="150" customWidth="1"/>
    <col min="14" max="17" width="35.77734375" style="42" customWidth="1"/>
    <col min="18" max="18" width="10.77734375" style="35"/>
    <col min="19" max="19" width="0.109375" style="35" customWidth="1"/>
    <col min="20" max="22" width="10.77734375" style="35"/>
    <col min="23" max="23" width="16.21875" style="35" customWidth="1"/>
    <col min="24" max="24" width="19" style="35" customWidth="1"/>
    <col min="25" max="16384" width="10.77734375" style="35"/>
  </cols>
  <sheetData>
    <row r="1" spans="1:17" ht="18.600000000000001" thickBot="1" x14ac:dyDescent="0.4">
      <c r="C1" s="297"/>
    </row>
    <row r="2" spans="1:17" ht="18.600000000000001" thickBot="1" x14ac:dyDescent="0.4">
      <c r="C2" s="172" t="s">
        <v>116</v>
      </c>
      <c r="D2" s="231">
        <v>45931</v>
      </c>
      <c r="H2" s="175" t="s">
        <v>117</v>
      </c>
      <c r="I2" s="231">
        <v>45931</v>
      </c>
      <c r="M2" s="170" t="s">
        <v>118</v>
      </c>
      <c r="N2" s="231">
        <v>45931</v>
      </c>
    </row>
    <row r="3" spans="1:17" x14ac:dyDescent="0.35">
      <c r="A3" s="62" t="s">
        <v>2</v>
      </c>
      <c r="B3" s="217" t="s">
        <v>114</v>
      </c>
      <c r="C3" s="173" t="s">
        <v>0</v>
      </c>
      <c r="D3" s="62" t="s">
        <v>115</v>
      </c>
      <c r="E3" s="162"/>
      <c r="F3" s="62" t="s">
        <v>2</v>
      </c>
      <c r="G3" s="78" t="s">
        <v>114</v>
      </c>
      <c r="H3" s="176" t="s">
        <v>0</v>
      </c>
      <c r="I3" s="62" t="s">
        <v>115</v>
      </c>
      <c r="K3" s="62" t="s">
        <v>2</v>
      </c>
      <c r="L3" s="240" t="s">
        <v>114</v>
      </c>
      <c r="M3" s="171" t="s">
        <v>0</v>
      </c>
      <c r="N3" s="163" t="s">
        <v>115</v>
      </c>
      <c r="O3" s="162"/>
      <c r="P3" s="162"/>
      <c r="Q3" s="162"/>
    </row>
    <row r="4" spans="1:17" x14ac:dyDescent="0.35">
      <c r="A4" s="230">
        <v>1</v>
      </c>
      <c r="B4" s="39" t="s">
        <v>166</v>
      </c>
      <c r="C4" s="144">
        <v>41700</v>
      </c>
      <c r="D4" s="31" t="s">
        <v>167</v>
      </c>
      <c r="F4" s="147">
        <v>1</v>
      </c>
      <c r="G4" s="39" t="s">
        <v>377</v>
      </c>
      <c r="H4" s="144">
        <v>33300</v>
      </c>
      <c r="I4" s="30" t="s">
        <v>380</v>
      </c>
      <c r="K4" s="62">
        <v>1</v>
      </c>
      <c r="L4" s="39" t="s">
        <v>297</v>
      </c>
      <c r="M4" s="144">
        <v>4500</v>
      </c>
      <c r="N4" s="31" t="s">
        <v>330</v>
      </c>
      <c r="O4" s="65"/>
    </row>
    <row r="5" spans="1:17" x14ac:dyDescent="0.35">
      <c r="A5" s="230">
        <v>2</v>
      </c>
      <c r="B5" s="39" t="s">
        <v>88</v>
      </c>
      <c r="C5" s="308">
        <v>43700</v>
      </c>
      <c r="D5" s="34" t="s">
        <v>202</v>
      </c>
      <c r="F5" s="147">
        <v>2</v>
      </c>
      <c r="G5" s="50" t="s">
        <v>185</v>
      </c>
      <c r="H5" s="314">
        <v>20000</v>
      </c>
      <c r="I5" s="30" t="s">
        <v>190</v>
      </c>
      <c r="K5" s="62">
        <v>2</v>
      </c>
      <c r="L5" s="39" t="s">
        <v>337</v>
      </c>
      <c r="M5" s="308">
        <v>21000</v>
      </c>
      <c r="N5" s="34" t="s">
        <v>475</v>
      </c>
      <c r="O5" s="65"/>
      <c r="P5" s="65"/>
      <c r="Q5" s="65"/>
    </row>
    <row r="6" spans="1:17" x14ac:dyDescent="0.35">
      <c r="A6" s="230">
        <v>3</v>
      </c>
      <c r="B6" s="40" t="s">
        <v>65</v>
      </c>
      <c r="C6" s="309">
        <v>85225</v>
      </c>
      <c r="D6" s="31" t="s">
        <v>66</v>
      </c>
      <c r="F6" s="147">
        <v>3</v>
      </c>
      <c r="G6" s="50" t="s">
        <v>218</v>
      </c>
      <c r="H6" s="314">
        <v>56000</v>
      </c>
      <c r="I6" s="30" t="s">
        <v>371</v>
      </c>
      <c r="K6" s="62">
        <v>3</v>
      </c>
      <c r="L6" s="50" t="s">
        <v>304</v>
      </c>
      <c r="M6" s="144">
        <v>49000</v>
      </c>
      <c r="N6" s="31" t="s">
        <v>189</v>
      </c>
      <c r="P6" s="65"/>
      <c r="Q6" s="65"/>
    </row>
    <row r="7" spans="1:17" x14ac:dyDescent="0.35">
      <c r="A7" s="230">
        <v>4</v>
      </c>
      <c r="B7" s="300" t="s">
        <v>503</v>
      </c>
      <c r="C7" s="309">
        <v>45000</v>
      </c>
      <c r="D7" s="295" t="s">
        <v>60</v>
      </c>
      <c r="F7" s="147">
        <v>4</v>
      </c>
      <c r="G7" s="39" t="s">
        <v>300</v>
      </c>
      <c r="H7" s="308">
        <v>43300</v>
      </c>
      <c r="I7" s="34" t="s">
        <v>328</v>
      </c>
      <c r="K7" s="62">
        <v>4</v>
      </c>
      <c r="L7" s="49" t="s">
        <v>385</v>
      </c>
      <c r="M7" s="144">
        <v>3750</v>
      </c>
      <c r="N7" s="31" t="s">
        <v>414</v>
      </c>
      <c r="O7" s="146"/>
    </row>
    <row r="8" spans="1:17" x14ac:dyDescent="0.35">
      <c r="A8" s="230">
        <v>5</v>
      </c>
      <c r="B8" s="300" t="s">
        <v>500</v>
      </c>
      <c r="C8" s="309">
        <v>35000</v>
      </c>
      <c r="D8" s="294" t="s">
        <v>131</v>
      </c>
      <c r="F8" s="147">
        <v>5</v>
      </c>
      <c r="G8" s="50" t="s">
        <v>100</v>
      </c>
      <c r="H8" s="314">
        <v>62800</v>
      </c>
      <c r="I8" s="30" t="s">
        <v>103</v>
      </c>
      <c r="K8" s="62">
        <v>5</v>
      </c>
      <c r="L8" s="49" t="s">
        <v>428</v>
      </c>
      <c r="M8" s="144">
        <v>54660</v>
      </c>
      <c r="N8" s="31" t="s">
        <v>484</v>
      </c>
      <c r="O8" s="64"/>
      <c r="P8" s="146"/>
      <c r="Q8" s="146"/>
    </row>
    <row r="9" spans="1:17" x14ac:dyDescent="0.35">
      <c r="A9" s="230">
        <v>6</v>
      </c>
      <c r="B9" s="49" t="s">
        <v>465</v>
      </c>
      <c r="C9" s="144">
        <v>18000</v>
      </c>
      <c r="D9" s="280" t="s">
        <v>469</v>
      </c>
      <c r="F9" s="147">
        <v>6</v>
      </c>
      <c r="G9" s="50" t="s">
        <v>303</v>
      </c>
      <c r="H9" s="314">
        <v>44000</v>
      </c>
      <c r="I9" s="30" t="s">
        <v>309</v>
      </c>
      <c r="K9" s="62">
        <v>6</v>
      </c>
      <c r="L9" s="39" t="s">
        <v>378</v>
      </c>
      <c r="M9" s="144">
        <v>3300</v>
      </c>
      <c r="N9" s="34" t="s">
        <v>381</v>
      </c>
      <c r="P9" s="64"/>
      <c r="Q9" s="64"/>
    </row>
    <row r="10" spans="1:17" x14ac:dyDescent="0.35">
      <c r="A10" s="230">
        <v>7</v>
      </c>
      <c r="B10" s="49" t="s">
        <v>411</v>
      </c>
      <c r="C10" s="144">
        <v>20580</v>
      </c>
      <c r="D10" s="31" t="s">
        <v>408</v>
      </c>
      <c r="F10" s="147">
        <v>7</v>
      </c>
      <c r="G10" s="49" t="s">
        <v>269</v>
      </c>
      <c r="H10" s="314">
        <v>10210</v>
      </c>
      <c r="I10" s="30" t="s">
        <v>284</v>
      </c>
      <c r="K10" s="62">
        <v>7</v>
      </c>
      <c r="L10" s="80" t="s">
        <v>45</v>
      </c>
      <c r="M10" s="308">
        <v>36000</v>
      </c>
      <c r="N10" s="34" t="s">
        <v>7</v>
      </c>
      <c r="O10" s="64"/>
    </row>
    <row r="11" spans="1:17" x14ac:dyDescent="0.35">
      <c r="A11" s="230">
        <v>8</v>
      </c>
      <c r="B11" s="39" t="s">
        <v>386</v>
      </c>
      <c r="C11" s="144">
        <v>17500</v>
      </c>
      <c r="D11" s="144" t="s">
        <v>478</v>
      </c>
      <c r="F11" s="147">
        <v>8</v>
      </c>
      <c r="G11" s="50" t="s">
        <v>81</v>
      </c>
      <c r="H11" s="314">
        <v>67400</v>
      </c>
      <c r="I11" s="30" t="s">
        <v>21</v>
      </c>
      <c r="K11" s="62">
        <v>8</v>
      </c>
      <c r="L11" s="50" t="s">
        <v>47</v>
      </c>
      <c r="M11" s="144">
        <v>18900</v>
      </c>
      <c r="N11" s="31" t="s">
        <v>15</v>
      </c>
      <c r="O11" s="64"/>
      <c r="P11" s="64"/>
      <c r="Q11" s="64"/>
    </row>
    <row r="12" spans="1:17" x14ac:dyDescent="0.35">
      <c r="A12" s="230">
        <v>9</v>
      </c>
      <c r="B12" s="190" t="s">
        <v>30</v>
      </c>
      <c r="C12" s="144">
        <v>45000</v>
      </c>
      <c r="D12" s="30" t="s">
        <v>9</v>
      </c>
      <c r="F12" s="147">
        <v>9</v>
      </c>
      <c r="G12" s="39" t="s">
        <v>379</v>
      </c>
      <c r="H12" s="144">
        <v>19100</v>
      </c>
      <c r="I12" s="34" t="s">
        <v>383</v>
      </c>
      <c r="K12" s="62">
        <v>9</v>
      </c>
      <c r="L12" s="39" t="s">
        <v>230</v>
      </c>
      <c r="M12" s="144">
        <v>9750</v>
      </c>
      <c r="N12" s="30" t="s">
        <v>481</v>
      </c>
      <c r="P12" s="64"/>
      <c r="Q12" s="64"/>
    </row>
    <row r="13" spans="1:17" x14ac:dyDescent="0.35">
      <c r="A13" s="230">
        <v>10</v>
      </c>
      <c r="B13" s="50" t="s">
        <v>42</v>
      </c>
      <c r="C13" s="144">
        <v>34300</v>
      </c>
      <c r="D13" s="144" t="s">
        <v>33</v>
      </c>
      <c r="F13" s="147">
        <v>10</v>
      </c>
      <c r="G13" s="49" t="s">
        <v>229</v>
      </c>
      <c r="H13" s="314">
        <v>5000</v>
      </c>
      <c r="I13" s="30" t="s">
        <v>307</v>
      </c>
      <c r="K13" s="62">
        <v>10</v>
      </c>
      <c r="L13" s="39" t="s">
        <v>390</v>
      </c>
      <c r="M13" s="308">
        <v>34500</v>
      </c>
      <c r="N13" s="34" t="s">
        <v>206</v>
      </c>
      <c r="O13" s="146"/>
    </row>
    <row r="14" spans="1:17" x14ac:dyDescent="0.35">
      <c r="A14" s="230">
        <v>11</v>
      </c>
      <c r="B14" s="49" t="s">
        <v>291</v>
      </c>
      <c r="C14" s="144">
        <v>61100</v>
      </c>
      <c r="D14" s="31" t="s">
        <v>212</v>
      </c>
      <c r="F14" s="147">
        <v>11</v>
      </c>
      <c r="G14" s="39" t="s">
        <v>178</v>
      </c>
      <c r="H14" s="314">
        <v>60000</v>
      </c>
      <c r="I14" s="30" t="s">
        <v>200</v>
      </c>
      <c r="K14" s="62">
        <v>11</v>
      </c>
      <c r="L14" s="50" t="s">
        <v>301</v>
      </c>
      <c r="M14" s="144">
        <v>73000</v>
      </c>
      <c r="N14" s="281" t="s">
        <v>343</v>
      </c>
      <c r="O14" s="64"/>
      <c r="P14" s="146"/>
      <c r="Q14" s="146"/>
    </row>
    <row r="15" spans="1:17" x14ac:dyDescent="0.35">
      <c r="A15" s="230">
        <v>12</v>
      </c>
      <c r="B15" s="49" t="s">
        <v>181</v>
      </c>
      <c r="C15" s="144">
        <v>69700</v>
      </c>
      <c r="D15" s="144" t="s">
        <v>26</v>
      </c>
      <c r="F15" s="147">
        <v>12</v>
      </c>
      <c r="G15" s="50" t="s">
        <v>41</v>
      </c>
      <c r="H15" s="314">
        <v>6300</v>
      </c>
      <c r="I15" s="30" t="s">
        <v>16</v>
      </c>
      <c r="K15" s="62">
        <v>12</v>
      </c>
      <c r="L15" s="49" t="s">
        <v>453</v>
      </c>
      <c r="M15" s="144">
        <v>750</v>
      </c>
      <c r="N15" s="31" t="s">
        <v>455</v>
      </c>
      <c r="O15" s="64"/>
      <c r="P15" s="64"/>
      <c r="Q15" s="64"/>
    </row>
    <row r="16" spans="1:17" x14ac:dyDescent="0.35">
      <c r="A16" s="230">
        <v>13</v>
      </c>
      <c r="B16" s="41" t="s">
        <v>460</v>
      </c>
      <c r="C16" s="310">
        <v>40000</v>
      </c>
      <c r="D16" s="33" t="s">
        <v>462</v>
      </c>
      <c r="F16" s="147">
        <v>13</v>
      </c>
      <c r="G16" s="50" t="s">
        <v>204</v>
      </c>
      <c r="H16" s="314">
        <v>21000</v>
      </c>
      <c r="I16" s="30" t="s">
        <v>205</v>
      </c>
      <c r="K16" s="62">
        <v>13</v>
      </c>
      <c r="L16" s="39" t="s">
        <v>249</v>
      </c>
      <c r="M16" s="144">
        <v>31500</v>
      </c>
      <c r="N16" s="31" t="s">
        <v>251</v>
      </c>
      <c r="P16" s="64"/>
      <c r="Q16" s="64"/>
    </row>
    <row r="17" spans="1:17" ht="17.100000000000001" customHeight="1" x14ac:dyDescent="0.35">
      <c r="A17" s="230">
        <v>14</v>
      </c>
      <c r="B17" s="49" t="s">
        <v>73</v>
      </c>
      <c r="C17" s="144">
        <v>30500</v>
      </c>
      <c r="D17" s="31" t="s">
        <v>120</v>
      </c>
      <c r="F17" s="147">
        <v>14</v>
      </c>
      <c r="G17" s="50" t="s">
        <v>179</v>
      </c>
      <c r="H17" s="314">
        <v>73000</v>
      </c>
      <c r="I17" s="30" t="s">
        <v>184</v>
      </c>
      <c r="K17" s="62">
        <v>14</v>
      </c>
      <c r="L17" s="50" t="s">
        <v>180</v>
      </c>
      <c r="M17" s="144">
        <v>73000</v>
      </c>
      <c r="N17" s="31" t="s">
        <v>13</v>
      </c>
    </row>
    <row r="18" spans="1:17" x14ac:dyDescent="0.35">
      <c r="A18" s="230">
        <v>15</v>
      </c>
      <c r="B18" s="49" t="s">
        <v>333</v>
      </c>
      <c r="C18" s="144">
        <v>31760</v>
      </c>
      <c r="D18" s="31" t="s">
        <v>320</v>
      </c>
      <c r="F18" s="147">
        <v>15</v>
      </c>
      <c r="G18" s="49" t="s">
        <v>372</v>
      </c>
      <c r="H18" s="144">
        <v>3000</v>
      </c>
      <c r="I18" s="30" t="s">
        <v>485</v>
      </c>
      <c r="K18" s="62">
        <v>15</v>
      </c>
      <c r="L18" s="49" t="s">
        <v>413</v>
      </c>
      <c r="M18" s="144">
        <v>16800</v>
      </c>
      <c r="N18" s="31" t="s">
        <v>429</v>
      </c>
    </row>
    <row r="19" spans="1:17" x14ac:dyDescent="0.35">
      <c r="A19" s="230">
        <v>16</v>
      </c>
      <c r="B19" s="39" t="s">
        <v>76</v>
      </c>
      <c r="C19" s="144">
        <v>27000</v>
      </c>
      <c r="D19" s="44" t="s">
        <v>11</v>
      </c>
      <c r="E19" s="164"/>
      <c r="F19" s="147">
        <v>16</v>
      </c>
      <c r="G19" s="50" t="s">
        <v>176</v>
      </c>
      <c r="H19" s="314">
        <v>43400</v>
      </c>
      <c r="I19" s="30" t="s">
        <v>198</v>
      </c>
      <c r="K19" s="62">
        <v>16</v>
      </c>
      <c r="L19" s="50" t="s">
        <v>163</v>
      </c>
      <c r="M19" s="144">
        <v>62800</v>
      </c>
      <c r="N19" s="31" t="s">
        <v>12</v>
      </c>
    </row>
    <row r="20" spans="1:17" x14ac:dyDescent="0.35">
      <c r="A20" s="230">
        <v>17</v>
      </c>
      <c r="B20" s="50" t="s">
        <v>155</v>
      </c>
      <c r="C20" s="144">
        <v>11250</v>
      </c>
      <c r="D20" s="144" t="s">
        <v>255</v>
      </c>
      <c r="E20" s="164"/>
      <c r="F20" s="147">
        <v>17</v>
      </c>
      <c r="G20" s="49" t="s">
        <v>215</v>
      </c>
      <c r="H20" s="314">
        <v>44400</v>
      </c>
      <c r="I20" s="30" t="s">
        <v>217</v>
      </c>
      <c r="K20" s="62">
        <v>17</v>
      </c>
      <c r="L20" s="50" t="s">
        <v>79</v>
      </c>
      <c r="M20" s="144">
        <v>73000</v>
      </c>
      <c r="N20" s="31" t="s">
        <v>124</v>
      </c>
    </row>
    <row r="21" spans="1:17" x14ac:dyDescent="0.35">
      <c r="A21" s="230">
        <v>18</v>
      </c>
      <c r="B21" s="49" t="s">
        <v>313</v>
      </c>
      <c r="C21" s="144">
        <v>4460</v>
      </c>
      <c r="D21" s="144" t="s">
        <v>339</v>
      </c>
      <c r="E21" s="164"/>
      <c r="F21" s="147">
        <v>18</v>
      </c>
      <c r="G21" s="39" t="s">
        <v>258</v>
      </c>
      <c r="H21" s="144">
        <v>3300</v>
      </c>
      <c r="I21" s="34" t="s">
        <v>263</v>
      </c>
      <c r="K21" s="62">
        <v>18</v>
      </c>
      <c r="L21" s="50" t="s">
        <v>193</v>
      </c>
      <c r="M21" s="144">
        <v>73000</v>
      </c>
      <c r="N21" s="281" t="s">
        <v>197</v>
      </c>
    </row>
    <row r="22" spans="1:17" x14ac:dyDescent="0.35">
      <c r="A22" s="230">
        <v>19</v>
      </c>
      <c r="B22" s="50" t="s">
        <v>194</v>
      </c>
      <c r="C22" s="144">
        <v>73000</v>
      </c>
      <c r="D22" s="144" t="s">
        <v>196</v>
      </c>
      <c r="E22" s="164"/>
      <c r="F22" s="147">
        <v>19</v>
      </c>
      <c r="G22" s="50" t="s">
        <v>213</v>
      </c>
      <c r="H22" s="314">
        <v>23700</v>
      </c>
      <c r="I22" s="282" t="s">
        <v>287</v>
      </c>
      <c r="K22" s="62">
        <v>19</v>
      </c>
      <c r="L22" s="39" t="s">
        <v>256</v>
      </c>
      <c r="M22" s="314">
        <v>16400</v>
      </c>
      <c r="N22" s="281" t="s">
        <v>72</v>
      </c>
    </row>
    <row r="23" spans="1:17" x14ac:dyDescent="0.35">
      <c r="A23" s="230">
        <v>20</v>
      </c>
      <c r="B23" s="40" t="s">
        <v>62</v>
      </c>
      <c r="C23" s="309">
        <v>85225</v>
      </c>
      <c r="D23" s="30" t="s">
        <v>6</v>
      </c>
      <c r="E23" s="164"/>
      <c r="F23" s="147">
        <v>20</v>
      </c>
      <c r="G23" s="50" t="s">
        <v>262</v>
      </c>
      <c r="H23" s="314">
        <v>13750</v>
      </c>
      <c r="I23" s="30" t="s">
        <v>156</v>
      </c>
      <c r="K23" s="62">
        <v>20</v>
      </c>
      <c r="L23" s="49" t="s">
        <v>489</v>
      </c>
      <c r="M23" s="144">
        <v>25600</v>
      </c>
      <c r="N23" s="31" t="s">
        <v>24</v>
      </c>
    </row>
    <row r="24" spans="1:17" x14ac:dyDescent="0.35">
      <c r="A24" s="230">
        <v>21</v>
      </c>
      <c r="B24" s="50" t="s">
        <v>341</v>
      </c>
      <c r="C24" s="144">
        <v>73000</v>
      </c>
      <c r="D24" s="286" t="s">
        <v>342</v>
      </c>
      <c r="E24" s="164"/>
      <c r="F24" s="147">
        <v>21</v>
      </c>
      <c r="G24" s="49" t="s">
        <v>438</v>
      </c>
      <c r="H24" s="314">
        <v>9990</v>
      </c>
      <c r="I24" s="30" t="s">
        <v>472</v>
      </c>
      <c r="K24" s="62">
        <v>21</v>
      </c>
      <c r="L24" s="39" t="s">
        <v>78</v>
      </c>
      <c r="M24" s="144">
        <v>37200</v>
      </c>
      <c r="N24" s="30" t="s">
        <v>373</v>
      </c>
    </row>
    <row r="25" spans="1:17" x14ac:dyDescent="0.35">
      <c r="A25" s="230">
        <v>22</v>
      </c>
      <c r="B25" s="300" t="s">
        <v>344</v>
      </c>
      <c r="C25" s="309">
        <v>100000</v>
      </c>
      <c r="D25" s="292" t="s">
        <v>39</v>
      </c>
      <c r="E25" s="164"/>
      <c r="F25" s="147">
        <v>22</v>
      </c>
      <c r="G25" s="40" t="s">
        <v>431</v>
      </c>
      <c r="H25" s="314">
        <v>42000</v>
      </c>
      <c r="I25" s="30" t="s">
        <v>252</v>
      </c>
      <c r="K25" s="62">
        <v>22</v>
      </c>
      <c r="L25" s="49" t="s">
        <v>257</v>
      </c>
      <c r="M25" s="144">
        <v>4800</v>
      </c>
      <c r="N25" s="31" t="s">
        <v>150</v>
      </c>
    </row>
    <row r="26" spans="1:17" x14ac:dyDescent="0.35">
      <c r="A26" s="230">
        <v>23</v>
      </c>
      <c r="B26" s="300" t="s">
        <v>348</v>
      </c>
      <c r="C26" s="309">
        <v>15000</v>
      </c>
      <c r="D26" s="294" t="s">
        <v>135</v>
      </c>
      <c r="E26" s="164"/>
      <c r="F26" s="147">
        <v>23</v>
      </c>
      <c r="G26" s="49" t="s">
        <v>332</v>
      </c>
      <c r="H26" s="144">
        <v>40920</v>
      </c>
      <c r="I26" s="31" t="s">
        <v>319</v>
      </c>
      <c r="K26" s="62">
        <v>23</v>
      </c>
      <c r="L26" s="39" t="s">
        <v>264</v>
      </c>
      <c r="M26" s="308">
        <v>40500</v>
      </c>
      <c r="N26" s="30" t="s">
        <v>140</v>
      </c>
    </row>
    <row r="27" spans="1:17" x14ac:dyDescent="0.35">
      <c r="A27" s="230">
        <v>24</v>
      </c>
      <c r="B27" s="49" t="s">
        <v>182</v>
      </c>
      <c r="C27" s="144">
        <v>73000</v>
      </c>
      <c r="D27" s="144" t="s">
        <v>18</v>
      </c>
      <c r="E27" s="164"/>
      <c r="F27" s="147">
        <v>24</v>
      </c>
      <c r="G27" s="49" t="s">
        <v>437</v>
      </c>
      <c r="H27" s="314">
        <v>6440</v>
      </c>
      <c r="I27" s="30" t="s">
        <v>442</v>
      </c>
      <c r="K27" s="62">
        <v>24</v>
      </c>
      <c r="L27" s="39" t="s">
        <v>289</v>
      </c>
      <c r="M27" s="144">
        <v>5000</v>
      </c>
      <c r="N27" s="31" t="s">
        <v>338</v>
      </c>
      <c r="O27" s="64"/>
    </row>
    <row r="28" spans="1:17" x14ac:dyDescent="0.35">
      <c r="A28" s="230">
        <v>25</v>
      </c>
      <c r="B28" s="300" t="s">
        <v>351</v>
      </c>
      <c r="C28" s="309">
        <v>45000</v>
      </c>
      <c r="D28" s="295" t="s">
        <v>58</v>
      </c>
      <c r="E28" s="164"/>
      <c r="F28" s="147">
        <v>25</v>
      </c>
      <c r="G28" s="318" t="s">
        <v>447</v>
      </c>
      <c r="H28" s="319">
        <v>46000</v>
      </c>
      <c r="I28" s="320" t="s">
        <v>471</v>
      </c>
      <c r="K28" s="62">
        <v>25</v>
      </c>
      <c r="L28" s="49" t="s">
        <v>82</v>
      </c>
      <c r="M28" s="144">
        <v>73000</v>
      </c>
      <c r="N28" s="31" t="s">
        <v>17</v>
      </c>
      <c r="O28" s="64"/>
      <c r="P28" s="64"/>
      <c r="Q28" s="64"/>
    </row>
    <row r="29" spans="1:17" x14ac:dyDescent="0.35">
      <c r="A29" s="230">
        <v>26</v>
      </c>
      <c r="B29" s="300" t="s">
        <v>350</v>
      </c>
      <c r="C29" s="309">
        <v>45000</v>
      </c>
      <c r="D29" s="295" t="s">
        <v>57</v>
      </c>
      <c r="E29" s="164"/>
      <c r="F29" s="147">
        <v>26</v>
      </c>
      <c r="G29" s="318" t="s">
        <v>447</v>
      </c>
      <c r="H29" s="321">
        <v>12660</v>
      </c>
      <c r="I29" s="287" t="s">
        <v>440</v>
      </c>
      <c r="K29" s="62">
        <v>26</v>
      </c>
      <c r="L29" s="50" t="s">
        <v>74</v>
      </c>
      <c r="M29" s="144">
        <v>8250</v>
      </c>
      <c r="N29" s="31" t="s">
        <v>5</v>
      </c>
      <c r="P29" s="64"/>
      <c r="Q29" s="64"/>
    </row>
    <row r="30" spans="1:17" x14ac:dyDescent="0.35">
      <c r="A30" s="230">
        <v>27</v>
      </c>
      <c r="B30" s="300" t="s">
        <v>501</v>
      </c>
      <c r="C30" s="309">
        <v>10000</v>
      </c>
      <c r="D30" s="294" t="s">
        <v>133</v>
      </c>
      <c r="E30" s="164"/>
      <c r="F30" s="147">
        <v>27</v>
      </c>
      <c r="G30" s="190" t="s">
        <v>241</v>
      </c>
      <c r="H30" s="314">
        <v>70000</v>
      </c>
      <c r="I30" s="30" t="s">
        <v>237</v>
      </c>
      <c r="K30" s="62">
        <v>27</v>
      </c>
      <c r="L30" s="39" t="s">
        <v>294</v>
      </c>
      <c r="M30" s="308">
        <v>34500</v>
      </c>
      <c r="N30" s="34" t="s">
        <v>327</v>
      </c>
    </row>
    <row r="31" spans="1:17" x14ac:dyDescent="0.35">
      <c r="A31" s="230">
        <v>28</v>
      </c>
      <c r="B31" s="40" t="s">
        <v>63</v>
      </c>
      <c r="C31" s="309">
        <v>118779</v>
      </c>
      <c r="D31" s="229" t="s">
        <v>8</v>
      </c>
      <c r="E31" s="164"/>
      <c r="F31" s="147">
        <v>28</v>
      </c>
      <c r="G31" s="39" t="s">
        <v>235</v>
      </c>
      <c r="H31" s="314">
        <v>80180</v>
      </c>
      <c r="I31" s="229" t="s">
        <v>234</v>
      </c>
      <c r="K31" s="62">
        <v>28</v>
      </c>
      <c r="L31" s="50" t="s">
        <v>43</v>
      </c>
      <c r="M31" s="144">
        <v>29400</v>
      </c>
      <c r="N31" s="31" t="s">
        <v>34</v>
      </c>
    </row>
    <row r="32" spans="1:17" ht="18.600000000000001" thickBot="1" x14ac:dyDescent="0.4">
      <c r="A32" s="230">
        <v>29</v>
      </c>
      <c r="B32" s="49" t="s">
        <v>222</v>
      </c>
      <c r="C32" s="144">
        <v>109020</v>
      </c>
      <c r="D32" s="305" t="s">
        <v>242</v>
      </c>
      <c r="E32" s="164"/>
      <c r="F32" s="147">
        <v>29</v>
      </c>
      <c r="G32" s="40" t="s">
        <v>324</v>
      </c>
      <c r="H32" s="144">
        <v>36290</v>
      </c>
      <c r="I32" s="228" t="s">
        <v>325</v>
      </c>
      <c r="K32" s="62">
        <v>29</v>
      </c>
      <c r="L32" s="49" t="s">
        <v>387</v>
      </c>
      <c r="M32" s="144">
        <v>750</v>
      </c>
      <c r="N32" s="31" t="s">
        <v>415</v>
      </c>
      <c r="O32" s="64"/>
    </row>
    <row r="33" spans="1:17" x14ac:dyDescent="0.35">
      <c r="A33" s="230">
        <v>30</v>
      </c>
      <c r="B33" s="49" t="s">
        <v>486</v>
      </c>
      <c r="C33" s="144">
        <v>20000</v>
      </c>
      <c r="D33" s="31" t="s">
        <v>487</v>
      </c>
      <c r="E33" s="164"/>
      <c r="F33" s="147">
        <v>30</v>
      </c>
      <c r="G33" s="39" t="s">
        <v>236</v>
      </c>
      <c r="H33" s="314">
        <v>113550</v>
      </c>
      <c r="I33" s="229" t="s">
        <v>237</v>
      </c>
      <c r="K33" s="62">
        <v>30</v>
      </c>
      <c r="L33" s="40" t="s">
        <v>387</v>
      </c>
      <c r="M33" s="144">
        <v>12500</v>
      </c>
      <c r="N33" s="31" t="s">
        <v>415</v>
      </c>
      <c r="P33" s="64"/>
      <c r="Q33" s="64"/>
    </row>
    <row r="34" spans="1:17" x14ac:dyDescent="0.35">
      <c r="A34" s="230">
        <v>31</v>
      </c>
      <c r="B34" s="300" t="s">
        <v>353</v>
      </c>
      <c r="C34" s="309">
        <v>20000</v>
      </c>
      <c r="D34" s="295" t="s">
        <v>39</v>
      </c>
      <c r="E34" s="164"/>
      <c r="F34" s="147">
        <v>31</v>
      </c>
      <c r="G34" s="39" t="s">
        <v>375</v>
      </c>
      <c r="H34" s="144">
        <v>31400</v>
      </c>
      <c r="I34" s="31" t="s">
        <v>423</v>
      </c>
      <c r="K34" s="62">
        <v>31</v>
      </c>
      <c r="L34" s="190" t="s">
        <v>323</v>
      </c>
      <c r="M34" s="144">
        <v>45000</v>
      </c>
      <c r="N34" s="34" t="s">
        <v>209</v>
      </c>
      <c r="O34" s="168"/>
      <c r="P34" s="64"/>
      <c r="Q34" s="64"/>
    </row>
    <row r="35" spans="1:17" x14ac:dyDescent="0.35">
      <c r="A35" s="230">
        <v>32</v>
      </c>
      <c r="B35" s="39" t="s">
        <v>482</v>
      </c>
      <c r="C35" s="144">
        <v>1500</v>
      </c>
      <c r="D35" s="144" t="s">
        <v>483</v>
      </c>
      <c r="E35" s="164"/>
      <c r="F35" s="147">
        <v>32</v>
      </c>
      <c r="G35" s="49" t="s">
        <v>311</v>
      </c>
      <c r="H35" s="314">
        <v>2000</v>
      </c>
      <c r="I35" s="30" t="s">
        <v>312</v>
      </c>
      <c r="K35" s="62">
        <v>32</v>
      </c>
      <c r="L35" s="50" t="s">
        <v>267</v>
      </c>
      <c r="M35" s="144">
        <v>60000</v>
      </c>
      <c r="N35" s="31" t="s">
        <v>160</v>
      </c>
      <c r="O35" s="64"/>
    </row>
    <row r="36" spans="1:17" x14ac:dyDescent="0.35">
      <c r="A36" s="230">
        <v>33</v>
      </c>
      <c r="B36" s="300" t="s">
        <v>498</v>
      </c>
      <c r="C36" s="309">
        <v>100000</v>
      </c>
      <c r="D36" s="292" t="s">
        <v>37</v>
      </c>
      <c r="E36" s="164"/>
      <c r="F36" s="147">
        <v>33</v>
      </c>
      <c r="G36" s="40" t="s">
        <v>240</v>
      </c>
      <c r="H36" s="144">
        <v>8000</v>
      </c>
      <c r="I36" s="30" t="s">
        <v>237</v>
      </c>
      <c r="K36" s="62">
        <v>33</v>
      </c>
      <c r="L36" s="40" t="s">
        <v>106</v>
      </c>
      <c r="M36" s="144">
        <v>58000</v>
      </c>
      <c r="N36" s="31" t="s">
        <v>137</v>
      </c>
      <c r="O36" s="64"/>
      <c r="P36" s="168"/>
      <c r="Q36" s="168"/>
    </row>
    <row r="37" spans="1:17" x14ac:dyDescent="0.35">
      <c r="A37" s="230">
        <v>34</v>
      </c>
      <c r="B37" s="40" t="s">
        <v>170</v>
      </c>
      <c r="C37" s="144">
        <v>45000</v>
      </c>
      <c r="D37" s="31" t="s">
        <v>169</v>
      </c>
      <c r="E37" s="164"/>
      <c r="F37" s="147">
        <v>34</v>
      </c>
      <c r="G37" s="41" t="s">
        <v>127</v>
      </c>
      <c r="H37" s="310">
        <v>35000</v>
      </c>
      <c r="I37" s="33" t="s">
        <v>126</v>
      </c>
      <c r="K37" s="62">
        <v>34</v>
      </c>
      <c r="L37" s="40" t="s">
        <v>71</v>
      </c>
      <c r="M37" s="144">
        <v>18000</v>
      </c>
      <c r="N37" s="280" t="s">
        <v>22</v>
      </c>
      <c r="O37" s="64"/>
      <c r="P37" s="64"/>
      <c r="Q37" s="64"/>
    </row>
    <row r="38" spans="1:17" x14ac:dyDescent="0.35">
      <c r="A38" s="230">
        <v>35</v>
      </c>
      <c r="B38" s="300" t="s">
        <v>504</v>
      </c>
      <c r="C38" s="309">
        <v>70000</v>
      </c>
      <c r="D38" s="295" t="s">
        <v>497</v>
      </c>
      <c r="E38" s="164"/>
      <c r="F38" s="147">
        <v>35</v>
      </c>
      <c r="G38" s="50" t="s">
        <v>245</v>
      </c>
      <c r="H38" s="314">
        <v>58000</v>
      </c>
      <c r="I38" s="30" t="s">
        <v>246</v>
      </c>
      <c r="K38" s="62">
        <v>35</v>
      </c>
      <c r="L38" s="300" t="s">
        <v>352</v>
      </c>
      <c r="M38" s="309">
        <v>45000</v>
      </c>
      <c r="N38" s="295" t="s">
        <v>61</v>
      </c>
      <c r="P38" s="64"/>
      <c r="Q38" s="64"/>
    </row>
    <row r="39" spans="1:17" x14ac:dyDescent="0.35">
      <c r="A39" s="230">
        <v>36</v>
      </c>
      <c r="B39" s="298" t="s">
        <v>347</v>
      </c>
      <c r="C39" s="309">
        <v>70000</v>
      </c>
      <c r="D39" s="294" t="s">
        <v>122</v>
      </c>
      <c r="E39" s="164"/>
      <c r="F39" s="147">
        <v>36</v>
      </c>
      <c r="G39" s="49" t="s">
        <v>147</v>
      </c>
      <c r="H39" s="314">
        <v>18600</v>
      </c>
      <c r="I39" s="30" t="s">
        <v>153</v>
      </c>
      <c r="K39" s="62">
        <v>36</v>
      </c>
      <c r="L39" s="49" t="s">
        <v>143</v>
      </c>
      <c r="M39" s="144">
        <v>113220</v>
      </c>
      <c r="N39" s="31" t="s">
        <v>151</v>
      </c>
      <c r="O39" s="64"/>
      <c r="P39" s="64"/>
      <c r="Q39" s="64"/>
    </row>
    <row r="40" spans="1:17" x14ac:dyDescent="0.35">
      <c r="A40" s="230">
        <v>37</v>
      </c>
      <c r="B40" s="50" t="s">
        <v>259</v>
      </c>
      <c r="C40" s="144">
        <v>40000</v>
      </c>
      <c r="D40" s="144" t="s">
        <v>227</v>
      </c>
      <c r="E40" s="164"/>
      <c r="F40" s="147">
        <v>37</v>
      </c>
      <c r="G40" s="50" t="s">
        <v>138</v>
      </c>
      <c r="H40" s="314">
        <v>58200</v>
      </c>
      <c r="I40" s="30" t="s">
        <v>286</v>
      </c>
      <c r="K40" s="62">
        <v>37</v>
      </c>
      <c r="L40" s="50" t="s">
        <v>48</v>
      </c>
      <c r="M40" s="309">
        <v>46000</v>
      </c>
      <c r="N40" s="46" t="s">
        <v>3</v>
      </c>
      <c r="O40" s="64"/>
    </row>
    <row r="41" spans="1:17" x14ac:dyDescent="0.35">
      <c r="A41" s="230">
        <v>38</v>
      </c>
      <c r="B41" s="49" t="s">
        <v>91</v>
      </c>
      <c r="C41" s="144">
        <v>19500</v>
      </c>
      <c r="D41" s="144" t="s">
        <v>96</v>
      </c>
      <c r="E41" s="164"/>
      <c r="F41" s="147">
        <v>38</v>
      </c>
      <c r="G41" s="40" t="s">
        <v>107</v>
      </c>
      <c r="H41" s="314">
        <v>56000</v>
      </c>
      <c r="I41" s="30" t="s">
        <v>108</v>
      </c>
      <c r="K41" s="62">
        <v>38</v>
      </c>
      <c r="L41" s="40" t="s">
        <v>154</v>
      </c>
      <c r="M41" s="144">
        <v>18000</v>
      </c>
      <c r="N41" s="282" t="s">
        <v>35</v>
      </c>
      <c r="P41" s="64"/>
      <c r="Q41" s="64"/>
    </row>
    <row r="42" spans="1:17" x14ac:dyDescent="0.35">
      <c r="A42" s="230">
        <v>39</v>
      </c>
      <c r="B42" s="39" t="s">
        <v>201</v>
      </c>
      <c r="C42" s="308">
        <v>36000</v>
      </c>
      <c r="D42" s="34" t="s">
        <v>207</v>
      </c>
      <c r="E42" s="164"/>
      <c r="F42" s="147">
        <v>39</v>
      </c>
      <c r="G42" s="39" t="s">
        <v>248</v>
      </c>
      <c r="H42" s="314">
        <v>50000</v>
      </c>
      <c r="I42" s="30" t="s">
        <v>247</v>
      </c>
      <c r="K42" s="62">
        <v>39</v>
      </c>
      <c r="L42" s="39" t="s">
        <v>219</v>
      </c>
      <c r="M42" s="308">
        <v>22400</v>
      </c>
      <c r="N42" s="280" t="s">
        <v>231</v>
      </c>
      <c r="P42" s="64"/>
      <c r="Q42" s="64"/>
    </row>
    <row r="43" spans="1:17" x14ac:dyDescent="0.35">
      <c r="A43" s="230">
        <v>40</v>
      </c>
      <c r="B43" s="39" t="s">
        <v>168</v>
      </c>
      <c r="C43" s="308">
        <v>33000</v>
      </c>
      <c r="D43" s="30" t="s">
        <v>172</v>
      </c>
      <c r="E43" s="164"/>
      <c r="F43" s="147">
        <v>40</v>
      </c>
      <c r="G43" s="50" t="s">
        <v>101</v>
      </c>
      <c r="H43" s="314">
        <v>69700</v>
      </c>
      <c r="I43" s="30" t="s">
        <v>104</v>
      </c>
      <c r="K43" s="62">
        <v>40</v>
      </c>
      <c r="L43" s="50" t="s">
        <v>232</v>
      </c>
      <c r="M43" s="144">
        <v>23100</v>
      </c>
      <c r="N43" s="31" t="s">
        <v>233</v>
      </c>
      <c r="O43" s="168"/>
    </row>
    <row r="44" spans="1:17" x14ac:dyDescent="0.35">
      <c r="A44" s="230">
        <v>41</v>
      </c>
      <c r="B44" s="40" t="s">
        <v>280</v>
      </c>
      <c r="C44" s="309">
        <v>85225</v>
      </c>
      <c r="D44" s="30" t="s">
        <v>281</v>
      </c>
      <c r="E44" s="164"/>
      <c r="F44" s="147">
        <v>41</v>
      </c>
      <c r="G44" s="39" t="s">
        <v>238</v>
      </c>
      <c r="H44" s="314">
        <v>34500</v>
      </c>
      <c r="I44" s="30" t="s">
        <v>459</v>
      </c>
      <c r="K44" s="62">
        <v>41</v>
      </c>
      <c r="L44" s="39" t="s">
        <v>376</v>
      </c>
      <c r="M44" s="144">
        <v>4500</v>
      </c>
      <c r="N44" s="31" t="s">
        <v>384</v>
      </c>
    </row>
    <row r="45" spans="1:17" x14ac:dyDescent="0.35">
      <c r="A45" s="230">
        <v>42</v>
      </c>
      <c r="B45" s="50" t="s">
        <v>187</v>
      </c>
      <c r="C45" s="144">
        <v>60000</v>
      </c>
      <c r="D45" s="144" t="s">
        <v>191</v>
      </c>
      <c r="E45" s="164"/>
      <c r="F45" s="147">
        <v>42</v>
      </c>
      <c r="G45" s="39" t="s">
        <v>77</v>
      </c>
      <c r="H45" s="144">
        <v>37800</v>
      </c>
      <c r="I45" s="30" t="s">
        <v>285</v>
      </c>
      <c r="K45" s="62">
        <v>42</v>
      </c>
      <c r="L45" s="49" t="s">
        <v>292</v>
      </c>
      <c r="M45" s="144">
        <v>33000</v>
      </c>
      <c r="N45" s="30" t="s">
        <v>293</v>
      </c>
      <c r="O45" s="169"/>
      <c r="P45" s="168"/>
      <c r="Q45" s="168"/>
    </row>
    <row r="46" spans="1:17" x14ac:dyDescent="0.35">
      <c r="A46" s="230">
        <v>43</v>
      </c>
      <c r="B46" s="39" t="s">
        <v>148</v>
      </c>
      <c r="C46" s="144">
        <v>80630</v>
      </c>
      <c r="D46" s="144" t="s">
        <v>149</v>
      </c>
      <c r="E46" s="164"/>
      <c r="F46" s="147">
        <v>43</v>
      </c>
      <c r="G46" s="39" t="s">
        <v>239</v>
      </c>
      <c r="H46" s="314">
        <v>34500</v>
      </c>
      <c r="I46" s="30" t="s">
        <v>459</v>
      </c>
      <c r="K46" s="62">
        <v>43</v>
      </c>
      <c r="L46" s="49" t="s">
        <v>144</v>
      </c>
      <c r="M46" s="144">
        <v>104220</v>
      </c>
      <c r="N46" s="31" t="s">
        <v>266</v>
      </c>
      <c r="O46" s="64"/>
    </row>
    <row r="47" spans="1:17" x14ac:dyDescent="0.35">
      <c r="A47" s="230">
        <v>44</v>
      </c>
      <c r="B47" s="49" t="s">
        <v>290</v>
      </c>
      <c r="C47" s="144">
        <v>11020</v>
      </c>
      <c r="D47" s="31" t="s">
        <v>275</v>
      </c>
      <c r="E47" s="164"/>
      <c r="F47" s="147">
        <v>44</v>
      </c>
      <c r="G47" s="49" t="s">
        <v>436</v>
      </c>
      <c r="H47" s="314">
        <v>67250</v>
      </c>
      <c r="I47" s="30" t="s">
        <v>441</v>
      </c>
      <c r="K47" s="62">
        <v>44</v>
      </c>
      <c r="L47" s="50" t="s">
        <v>159</v>
      </c>
      <c r="M47" s="144">
        <v>42100</v>
      </c>
      <c r="N47" s="31" t="s">
        <v>161</v>
      </c>
      <c r="O47" s="64"/>
      <c r="P47" s="169"/>
      <c r="Q47" s="169"/>
    </row>
    <row r="48" spans="1:17" x14ac:dyDescent="0.35">
      <c r="A48" s="230">
        <v>45</v>
      </c>
      <c r="B48" s="49" t="s">
        <v>183</v>
      </c>
      <c r="C48" s="144">
        <v>69700</v>
      </c>
      <c r="D48" s="144" t="s">
        <v>210</v>
      </c>
      <c r="E48" s="164"/>
      <c r="F48" s="147">
        <v>45</v>
      </c>
      <c r="G48" s="50" t="s">
        <v>83</v>
      </c>
      <c r="H48" s="314">
        <v>73000</v>
      </c>
      <c r="I48" s="30" t="s">
        <v>19</v>
      </c>
      <c r="K48" s="62">
        <v>45</v>
      </c>
      <c r="L48" s="50" t="s">
        <v>394</v>
      </c>
      <c r="M48" s="144">
        <v>1400</v>
      </c>
      <c r="N48" s="31" t="s">
        <v>425</v>
      </c>
      <c r="O48" s="64"/>
      <c r="P48" s="64"/>
      <c r="Q48" s="64"/>
    </row>
    <row r="49" spans="1:17" x14ac:dyDescent="0.35">
      <c r="A49" s="230">
        <v>46</v>
      </c>
      <c r="B49" s="300" t="s">
        <v>345</v>
      </c>
      <c r="C49" s="309">
        <v>100000</v>
      </c>
      <c r="D49" s="292" t="s">
        <v>40</v>
      </c>
      <c r="E49" s="164"/>
      <c r="F49" s="147">
        <v>46</v>
      </c>
      <c r="G49" s="300" t="s">
        <v>502</v>
      </c>
      <c r="H49" s="309">
        <v>40000</v>
      </c>
      <c r="I49" s="294" t="s">
        <v>495</v>
      </c>
      <c r="K49" s="62">
        <v>46</v>
      </c>
      <c r="L49" s="49" t="s">
        <v>490</v>
      </c>
      <c r="M49" s="144">
        <v>39600</v>
      </c>
      <c r="N49" s="31" t="s">
        <v>25</v>
      </c>
      <c r="O49" s="64"/>
      <c r="P49" s="64"/>
      <c r="Q49" s="64"/>
    </row>
    <row r="50" spans="1:17" x14ac:dyDescent="0.35">
      <c r="A50" s="230">
        <v>47</v>
      </c>
      <c r="B50" s="39" t="s">
        <v>69</v>
      </c>
      <c r="C50" s="144">
        <v>6000</v>
      </c>
      <c r="D50" s="144" t="s">
        <v>4</v>
      </c>
      <c r="E50" s="164"/>
      <c r="F50" s="147">
        <v>47</v>
      </c>
      <c r="G50" s="40" t="s">
        <v>85</v>
      </c>
      <c r="H50" s="144">
        <v>45000</v>
      </c>
      <c r="I50" s="31" t="s">
        <v>67</v>
      </c>
      <c r="K50" s="62">
        <v>47</v>
      </c>
      <c r="L50" s="50" t="s">
        <v>175</v>
      </c>
      <c r="M50" s="144">
        <v>67400</v>
      </c>
      <c r="N50" s="31" t="s">
        <v>195</v>
      </c>
      <c r="O50" s="65"/>
      <c r="P50" s="64"/>
      <c r="Q50" s="64"/>
    </row>
    <row r="51" spans="1:17" x14ac:dyDescent="0.35">
      <c r="A51" s="230">
        <v>48</v>
      </c>
      <c r="B51" s="80" t="s">
        <v>46</v>
      </c>
      <c r="C51" s="308">
        <v>85500</v>
      </c>
      <c r="D51" s="34" t="s">
        <v>171</v>
      </c>
      <c r="E51" s="164"/>
      <c r="F51" s="147">
        <v>48</v>
      </c>
      <c r="G51" s="50" t="s">
        <v>68</v>
      </c>
      <c r="H51" s="314">
        <v>17250</v>
      </c>
      <c r="I51" s="30" t="s">
        <v>10</v>
      </c>
      <c r="K51" s="62">
        <v>48</v>
      </c>
      <c r="L51" s="50" t="s">
        <v>186</v>
      </c>
      <c r="M51" s="144">
        <v>36000</v>
      </c>
      <c r="N51" s="31" t="s">
        <v>137</v>
      </c>
      <c r="P51" s="64"/>
      <c r="Q51" s="64"/>
    </row>
    <row r="52" spans="1:17" x14ac:dyDescent="0.35">
      <c r="A52" s="230">
        <v>49</v>
      </c>
      <c r="B52" s="39" t="s">
        <v>93</v>
      </c>
      <c r="C52" s="144">
        <v>20000</v>
      </c>
      <c r="D52" s="144" t="s">
        <v>98</v>
      </c>
      <c r="E52" s="164"/>
      <c r="F52" s="147">
        <v>49</v>
      </c>
      <c r="G52" s="50" t="s">
        <v>44</v>
      </c>
      <c r="H52" s="314">
        <v>14000</v>
      </c>
      <c r="I52" s="30" t="s">
        <v>200</v>
      </c>
      <c r="K52" s="62">
        <v>49</v>
      </c>
      <c r="L52" s="49" t="s">
        <v>412</v>
      </c>
      <c r="M52" s="144">
        <v>9440</v>
      </c>
      <c r="N52" s="31" t="s">
        <v>409</v>
      </c>
      <c r="P52" s="65"/>
      <c r="Q52" s="65"/>
    </row>
    <row r="53" spans="1:17" x14ac:dyDescent="0.35">
      <c r="A53" s="230">
        <v>50</v>
      </c>
      <c r="B53" s="50" t="s">
        <v>395</v>
      </c>
      <c r="C53" s="144">
        <v>31500</v>
      </c>
      <c r="D53" s="144" t="s">
        <v>426</v>
      </c>
      <c r="E53" s="164"/>
      <c r="F53" s="147">
        <v>50</v>
      </c>
      <c r="G53" s="50" t="s">
        <v>105</v>
      </c>
      <c r="H53" s="314">
        <v>12000</v>
      </c>
      <c r="I53" s="30" t="s">
        <v>125</v>
      </c>
      <c r="K53" s="62">
        <v>50</v>
      </c>
      <c r="L53" s="49" t="s">
        <v>451</v>
      </c>
      <c r="M53" s="144">
        <v>25500</v>
      </c>
      <c r="N53" s="31" t="s">
        <v>94</v>
      </c>
      <c r="O53" s="64"/>
    </row>
    <row r="54" spans="1:17" x14ac:dyDescent="0.35">
      <c r="A54" s="230">
        <v>51</v>
      </c>
      <c r="B54" s="303" t="s">
        <v>188</v>
      </c>
      <c r="C54" s="304">
        <v>60000</v>
      </c>
      <c r="D54" s="144" t="s">
        <v>192</v>
      </c>
      <c r="E54" s="164"/>
      <c r="F54" s="147">
        <v>51</v>
      </c>
      <c r="G54" s="50" t="s">
        <v>177</v>
      </c>
      <c r="H54" s="314">
        <v>27300</v>
      </c>
      <c r="I54" s="30" t="s">
        <v>199</v>
      </c>
      <c r="K54" s="62">
        <v>51</v>
      </c>
      <c r="L54" s="50" t="s">
        <v>310</v>
      </c>
      <c r="M54" s="144">
        <v>9750</v>
      </c>
      <c r="N54" s="31" t="s">
        <v>306</v>
      </c>
    </row>
    <row r="55" spans="1:17" x14ac:dyDescent="0.35">
      <c r="A55" s="230">
        <v>52</v>
      </c>
      <c r="B55" s="303" t="s">
        <v>254</v>
      </c>
      <c r="C55" s="304">
        <v>7750</v>
      </c>
      <c r="D55" s="144" t="s">
        <v>283</v>
      </c>
      <c r="E55" s="164"/>
      <c r="F55" s="147">
        <v>52</v>
      </c>
      <c r="G55" s="50" t="s">
        <v>260</v>
      </c>
      <c r="H55" s="314">
        <v>10500</v>
      </c>
      <c r="I55" s="30" t="s">
        <v>157</v>
      </c>
      <c r="K55" s="62">
        <v>52</v>
      </c>
      <c r="L55" s="50" t="s">
        <v>223</v>
      </c>
      <c r="M55" s="144">
        <v>10750</v>
      </c>
      <c r="N55" s="31" t="s">
        <v>225</v>
      </c>
      <c r="O55" s="64"/>
      <c r="P55" s="64"/>
      <c r="Q55" s="64"/>
    </row>
    <row r="56" spans="1:17" x14ac:dyDescent="0.35">
      <c r="A56" s="230">
        <v>53</v>
      </c>
      <c r="B56" s="299" t="s">
        <v>64</v>
      </c>
      <c r="C56" s="311">
        <v>85225</v>
      </c>
      <c r="D56" s="30" t="s">
        <v>32</v>
      </c>
      <c r="E56" s="164"/>
      <c r="F56" s="147">
        <v>53</v>
      </c>
      <c r="G56" s="39" t="s">
        <v>464</v>
      </c>
      <c r="H56" s="144">
        <v>18000</v>
      </c>
      <c r="I56" s="280" t="s">
        <v>488</v>
      </c>
      <c r="K56" s="62">
        <v>53</v>
      </c>
      <c r="L56" s="49" t="s">
        <v>268</v>
      </c>
      <c r="M56" s="144">
        <v>8000</v>
      </c>
      <c r="N56" s="31" t="s">
        <v>226</v>
      </c>
    </row>
    <row r="57" spans="1:17" ht="18.600000000000001" thickBot="1" x14ac:dyDescent="0.4">
      <c r="A57" s="230">
        <v>54</v>
      </c>
      <c r="B57" s="302" t="s">
        <v>84</v>
      </c>
      <c r="C57" s="144">
        <v>73000</v>
      </c>
      <c r="D57" s="144" t="s">
        <v>20</v>
      </c>
      <c r="E57" s="164"/>
      <c r="F57" s="147">
        <v>54</v>
      </c>
      <c r="G57" s="313" t="s">
        <v>374</v>
      </c>
      <c r="H57" s="144">
        <v>16000</v>
      </c>
      <c r="I57" s="188" t="s">
        <v>382</v>
      </c>
      <c r="K57" s="62">
        <v>54</v>
      </c>
      <c r="L57" s="50" t="s">
        <v>302</v>
      </c>
      <c r="M57" s="144">
        <v>65100</v>
      </c>
      <c r="N57" s="31" t="s">
        <v>340</v>
      </c>
      <c r="O57" s="64"/>
      <c r="P57" s="64"/>
      <c r="Q57" s="64"/>
    </row>
    <row r="58" spans="1:17" ht="18.600000000000001" thickBot="1" x14ac:dyDescent="0.4">
      <c r="A58" s="230">
        <v>55</v>
      </c>
      <c r="B58" s="291" t="s">
        <v>349</v>
      </c>
      <c r="C58" s="309">
        <v>10000</v>
      </c>
      <c r="D58" s="296" t="s">
        <v>322</v>
      </c>
      <c r="E58" s="164"/>
      <c r="F58" s="166"/>
      <c r="G58" s="238"/>
      <c r="H58" s="177">
        <f>SUM(H4:H57)</f>
        <v>1944990</v>
      </c>
      <c r="I58" s="167"/>
      <c r="K58" s="62">
        <v>55</v>
      </c>
      <c r="L58" s="39" t="s">
        <v>90</v>
      </c>
      <c r="M58" s="144">
        <v>8500</v>
      </c>
      <c r="N58" s="31" t="s">
        <v>95</v>
      </c>
      <c r="O58" s="64"/>
    </row>
    <row r="59" spans="1:17" x14ac:dyDescent="0.35">
      <c r="A59" s="230">
        <v>56</v>
      </c>
      <c r="B59" s="302" t="s">
        <v>331</v>
      </c>
      <c r="C59" s="144">
        <v>13940</v>
      </c>
      <c r="D59" s="188" t="s">
        <v>318</v>
      </c>
      <c r="E59" s="164"/>
      <c r="K59" s="62">
        <v>56</v>
      </c>
      <c r="L59" s="49" t="s">
        <v>221</v>
      </c>
      <c r="M59" s="144">
        <v>34800</v>
      </c>
      <c r="N59" s="31" t="s">
        <v>208</v>
      </c>
      <c r="P59" s="64"/>
      <c r="Q59" s="64"/>
    </row>
    <row r="60" spans="1:17" x14ac:dyDescent="0.35">
      <c r="A60" s="230">
        <v>57</v>
      </c>
      <c r="B60" s="291" t="s">
        <v>499</v>
      </c>
      <c r="C60" s="309">
        <v>100000</v>
      </c>
      <c r="D60" s="307" t="s">
        <v>38</v>
      </c>
      <c r="E60" s="164"/>
      <c r="K60" s="62">
        <v>57</v>
      </c>
      <c r="L60" s="39" t="s">
        <v>296</v>
      </c>
      <c r="M60" s="308">
        <v>27000</v>
      </c>
      <c r="N60" s="188" t="s">
        <v>329</v>
      </c>
      <c r="P60" s="64"/>
      <c r="Q60" s="64"/>
    </row>
    <row r="61" spans="1:17" x14ac:dyDescent="0.35">
      <c r="A61" s="230">
        <v>58</v>
      </c>
      <c r="B61" s="302" t="s">
        <v>427</v>
      </c>
      <c r="C61" s="144">
        <v>11220</v>
      </c>
      <c r="D61" s="306" t="s">
        <v>152</v>
      </c>
      <c r="E61" s="164"/>
      <c r="K61" s="62">
        <v>58</v>
      </c>
      <c r="L61" s="50" t="s">
        <v>80</v>
      </c>
      <c r="M61" s="144">
        <v>73000</v>
      </c>
      <c r="N61" s="31" t="s">
        <v>14</v>
      </c>
    </row>
    <row r="62" spans="1:17" x14ac:dyDescent="0.35">
      <c r="A62" s="230">
        <v>59</v>
      </c>
      <c r="B62" s="301" t="s">
        <v>265</v>
      </c>
      <c r="C62" s="312">
        <v>39000</v>
      </c>
      <c r="D62" s="34" t="s">
        <v>31</v>
      </c>
      <c r="E62" s="164"/>
      <c r="G62" s="42"/>
      <c r="H62" s="42"/>
      <c r="K62" s="62">
        <v>59</v>
      </c>
      <c r="L62" s="49" t="s">
        <v>388</v>
      </c>
      <c r="M62" s="144">
        <v>23250</v>
      </c>
      <c r="N62" s="31" t="s">
        <v>417</v>
      </c>
    </row>
    <row r="63" spans="1:17" x14ac:dyDescent="0.35">
      <c r="A63" s="230">
        <v>60</v>
      </c>
      <c r="B63" s="302" t="s">
        <v>410</v>
      </c>
      <c r="C63" s="304">
        <v>28940</v>
      </c>
      <c r="D63" s="31" t="s">
        <v>407</v>
      </c>
      <c r="E63" s="164"/>
      <c r="F63" s="164"/>
      <c r="G63" s="164"/>
      <c r="H63" s="164"/>
      <c r="I63" s="164"/>
      <c r="K63" s="62">
        <v>60</v>
      </c>
      <c r="L63" s="49" t="s">
        <v>92</v>
      </c>
      <c r="M63" s="144">
        <v>19750</v>
      </c>
      <c r="N63" s="31" t="s">
        <v>97</v>
      </c>
    </row>
    <row r="64" spans="1:17" ht="18.600000000000001" thickBot="1" x14ac:dyDescent="0.4">
      <c r="A64" s="230">
        <v>61</v>
      </c>
      <c r="B64" s="302" t="s">
        <v>389</v>
      </c>
      <c r="C64" s="304">
        <v>21250</v>
      </c>
      <c r="D64" s="144" t="s">
        <v>416</v>
      </c>
      <c r="E64" s="164"/>
      <c r="K64" s="62">
        <v>61</v>
      </c>
      <c r="L64" s="39" t="s">
        <v>298</v>
      </c>
      <c r="M64" s="144">
        <v>8500</v>
      </c>
      <c r="N64" s="31" t="s">
        <v>480</v>
      </c>
    </row>
    <row r="65" spans="1:14" ht="18.600000000000001" thickBot="1" x14ac:dyDescent="0.4">
      <c r="A65" s="218"/>
      <c r="B65" s="218"/>
      <c r="C65" s="172">
        <f>SUM(C4:C64)</f>
        <v>2863699</v>
      </c>
      <c r="D65" s="161"/>
      <c r="E65" s="164"/>
      <c r="J65" s="35"/>
      <c r="K65" s="62">
        <v>62</v>
      </c>
      <c r="L65" s="39" t="s">
        <v>141</v>
      </c>
      <c r="M65" s="144">
        <v>39300</v>
      </c>
      <c r="N65" s="48" t="s">
        <v>142</v>
      </c>
    </row>
    <row r="66" spans="1:14" x14ac:dyDescent="0.35">
      <c r="E66" s="164"/>
      <c r="J66" s="35"/>
      <c r="K66" s="62">
        <v>63</v>
      </c>
      <c r="L66" s="39" t="s">
        <v>391</v>
      </c>
      <c r="M66" s="308">
        <v>36000</v>
      </c>
      <c r="N66" s="34" t="s">
        <v>477</v>
      </c>
    </row>
    <row r="67" spans="1:14" x14ac:dyDescent="0.35">
      <c r="E67" s="165"/>
      <c r="J67" s="35"/>
      <c r="K67" s="62">
        <v>64</v>
      </c>
      <c r="L67" s="39" t="s">
        <v>295</v>
      </c>
      <c r="M67" s="308">
        <v>13500</v>
      </c>
      <c r="N67" s="34" t="s">
        <v>299</v>
      </c>
    </row>
    <row r="68" spans="1:14" x14ac:dyDescent="0.35">
      <c r="E68" s="65"/>
      <c r="J68" s="35"/>
      <c r="K68" s="62">
        <v>65</v>
      </c>
      <c r="L68" s="49" t="s">
        <v>214</v>
      </c>
      <c r="M68" s="144">
        <v>67400</v>
      </c>
      <c r="N68" s="31" t="s">
        <v>216</v>
      </c>
    </row>
    <row r="69" spans="1:14" x14ac:dyDescent="0.35">
      <c r="E69" s="65"/>
      <c r="J69" s="35" t="s">
        <v>121</v>
      </c>
      <c r="K69" s="62">
        <v>66</v>
      </c>
      <c r="L69" s="204" t="s">
        <v>139</v>
      </c>
      <c r="M69" s="308">
        <v>40500</v>
      </c>
      <c r="N69" s="34" t="s">
        <v>288</v>
      </c>
    </row>
    <row r="70" spans="1:14" x14ac:dyDescent="0.35">
      <c r="J70" s="35"/>
      <c r="K70" s="62">
        <v>67</v>
      </c>
      <c r="L70" s="50" t="s">
        <v>203</v>
      </c>
      <c r="M70" s="144">
        <v>9250</v>
      </c>
      <c r="N70" s="31" t="s">
        <v>334</v>
      </c>
    </row>
    <row r="71" spans="1:14" x14ac:dyDescent="0.35">
      <c r="J71" s="35"/>
      <c r="K71" s="62">
        <v>68</v>
      </c>
      <c r="L71" s="50" t="s">
        <v>70</v>
      </c>
      <c r="M71" s="144">
        <v>7500</v>
      </c>
      <c r="N71" s="31" t="s">
        <v>336</v>
      </c>
    </row>
    <row r="72" spans="1:14" ht="17.100000000000001" customHeight="1" x14ac:dyDescent="0.35">
      <c r="K72" s="62">
        <v>69</v>
      </c>
      <c r="L72" s="49" t="s">
        <v>75</v>
      </c>
      <c r="M72" s="144">
        <v>7000</v>
      </c>
      <c r="N72" s="31" t="s">
        <v>335</v>
      </c>
    </row>
    <row r="73" spans="1:14" x14ac:dyDescent="0.35">
      <c r="K73" s="62">
        <v>70</v>
      </c>
      <c r="L73" s="50" t="s">
        <v>305</v>
      </c>
      <c r="M73" s="144">
        <v>14000</v>
      </c>
      <c r="N73" s="31" t="s">
        <v>326</v>
      </c>
    </row>
    <row r="74" spans="1:14" x14ac:dyDescent="0.35">
      <c r="K74" s="62">
        <v>71</v>
      </c>
      <c r="L74" s="49" t="s">
        <v>452</v>
      </c>
      <c r="M74" s="144">
        <v>750</v>
      </c>
      <c r="N74" s="31" t="s">
        <v>454</v>
      </c>
    </row>
    <row r="75" spans="1:14" x14ac:dyDescent="0.35">
      <c r="K75" s="62">
        <v>72</v>
      </c>
      <c r="L75" s="49" t="s">
        <v>491</v>
      </c>
      <c r="M75" s="144">
        <v>39600</v>
      </c>
      <c r="N75" s="31" t="s">
        <v>23</v>
      </c>
    </row>
    <row r="76" spans="1:14" x14ac:dyDescent="0.35">
      <c r="K76" s="62">
        <v>73</v>
      </c>
      <c r="L76" s="39" t="s">
        <v>253</v>
      </c>
      <c r="M76" s="144">
        <v>33600</v>
      </c>
      <c r="N76" s="30" t="s">
        <v>250</v>
      </c>
    </row>
    <row r="77" spans="1:14" x14ac:dyDescent="0.35">
      <c r="K77" s="62">
        <v>74</v>
      </c>
      <c r="L77" s="39" t="s">
        <v>220</v>
      </c>
      <c r="M77" s="308">
        <v>16500</v>
      </c>
      <c r="N77" s="34" t="s">
        <v>243</v>
      </c>
    </row>
    <row r="78" spans="1:14" ht="18.600000000000001" thickBot="1" x14ac:dyDescent="0.4">
      <c r="K78" s="62">
        <v>75</v>
      </c>
      <c r="L78" s="204" t="s">
        <v>392</v>
      </c>
      <c r="M78" s="308">
        <v>3000</v>
      </c>
      <c r="N78" s="34" t="s">
        <v>476</v>
      </c>
    </row>
    <row r="79" spans="1:14" ht="18.600000000000001" thickBot="1" x14ac:dyDescent="0.4">
      <c r="C79" s="179">
        <f>SUM(C65,H58,M81)</f>
        <v>7243479</v>
      </c>
      <c r="K79" s="62">
        <v>76</v>
      </c>
      <c r="L79" s="313" t="s">
        <v>164</v>
      </c>
      <c r="M79" s="304">
        <v>19500</v>
      </c>
      <c r="N79" s="280" t="s">
        <v>165</v>
      </c>
    </row>
    <row r="80" spans="1:14" x14ac:dyDescent="0.35">
      <c r="K80" s="62">
        <v>77</v>
      </c>
      <c r="L80" s="293" t="s">
        <v>346</v>
      </c>
      <c r="M80" s="315">
        <v>60000</v>
      </c>
      <c r="N80" s="295" t="s">
        <v>493</v>
      </c>
    </row>
    <row r="81" spans="11:14" ht="18.600000000000001" thickBot="1" x14ac:dyDescent="0.4">
      <c r="K81" s="235"/>
      <c r="L81" s="241"/>
      <c r="M81" s="236">
        <f>SUM(M4:M80)</f>
        <v>2434790</v>
      </c>
      <c r="N81" s="237"/>
    </row>
    <row r="108" spans="15:17" x14ac:dyDescent="0.35">
      <c r="O108" s="64"/>
    </row>
    <row r="109" spans="15:17" x14ac:dyDescent="0.35">
      <c r="O109" s="65"/>
    </row>
    <row r="110" spans="15:17" x14ac:dyDescent="0.35">
      <c r="O110" s="65"/>
      <c r="P110" s="64"/>
      <c r="Q110" s="64"/>
    </row>
    <row r="111" spans="15:17" x14ac:dyDescent="0.35">
      <c r="P111" s="65"/>
      <c r="Q111" s="65"/>
    </row>
    <row r="112" spans="15:17" x14ac:dyDescent="0.35">
      <c r="O112" s="65"/>
      <c r="P112" s="65"/>
      <c r="Q112" s="65"/>
    </row>
    <row r="114" spans="7:17" x14ac:dyDescent="0.35">
      <c r="P114" s="65"/>
      <c r="Q114" s="65"/>
    </row>
    <row r="128" spans="7:17" x14ac:dyDescent="0.35">
      <c r="G128" s="239"/>
    </row>
    <row r="166" spans="15:17" x14ac:dyDescent="0.35">
      <c r="O166" s="145"/>
    </row>
    <row r="168" spans="15:17" x14ac:dyDescent="0.35">
      <c r="O168" s="169"/>
      <c r="P168" s="145"/>
      <c r="Q168" s="145"/>
    </row>
    <row r="169" spans="15:17" x14ac:dyDescent="0.35">
      <c r="O169" s="169"/>
    </row>
    <row r="170" spans="15:17" x14ac:dyDescent="0.35">
      <c r="O170" s="169"/>
      <c r="P170" s="169"/>
      <c r="Q170" s="169"/>
    </row>
    <row r="171" spans="15:17" x14ac:dyDescent="0.35">
      <c r="O171" s="169"/>
      <c r="P171" s="169"/>
      <c r="Q171" s="169"/>
    </row>
    <row r="172" spans="15:17" x14ac:dyDescent="0.35">
      <c r="O172" s="169"/>
      <c r="P172" s="169"/>
      <c r="Q172" s="169"/>
    </row>
    <row r="173" spans="15:17" x14ac:dyDescent="0.35">
      <c r="O173" s="169"/>
      <c r="P173" s="169"/>
      <c r="Q173" s="169"/>
    </row>
    <row r="174" spans="15:17" x14ac:dyDescent="0.35">
      <c r="O174" s="169"/>
      <c r="P174" s="169"/>
      <c r="Q174" s="169"/>
    </row>
    <row r="175" spans="15:17" x14ac:dyDescent="0.35">
      <c r="O175" s="169"/>
      <c r="P175" s="169"/>
      <c r="Q175" s="169"/>
    </row>
    <row r="176" spans="15:17" x14ac:dyDescent="0.35">
      <c r="O176" s="169"/>
      <c r="P176" s="169"/>
      <c r="Q176" s="169"/>
    </row>
    <row r="177" spans="15:17" x14ac:dyDescent="0.35">
      <c r="O177" s="169"/>
      <c r="P177" s="169"/>
      <c r="Q177" s="169"/>
    </row>
    <row r="178" spans="15:17" x14ac:dyDescent="0.35">
      <c r="O178" s="169"/>
      <c r="P178" s="169"/>
      <c r="Q178" s="169"/>
    </row>
    <row r="179" spans="15:17" x14ac:dyDescent="0.35">
      <c r="O179" s="169"/>
      <c r="P179" s="169"/>
      <c r="Q179" s="169"/>
    </row>
    <row r="180" spans="15:17" x14ac:dyDescent="0.35">
      <c r="O180" s="169"/>
      <c r="P180" s="169"/>
      <c r="Q180" s="169"/>
    </row>
    <row r="181" spans="15:17" x14ac:dyDescent="0.35">
      <c r="O181" s="169"/>
      <c r="P181" s="169"/>
      <c r="Q181" s="169"/>
    </row>
    <row r="182" spans="15:17" x14ac:dyDescent="0.35">
      <c r="O182" s="169"/>
      <c r="P182" s="169"/>
      <c r="Q182" s="169"/>
    </row>
    <row r="183" spans="15:17" x14ac:dyDescent="0.35">
      <c r="O183" s="169"/>
      <c r="P183" s="169"/>
      <c r="Q183" s="169"/>
    </row>
    <row r="184" spans="15:17" x14ac:dyDescent="0.35">
      <c r="O184" s="169"/>
      <c r="P184" s="169"/>
      <c r="Q184" s="169"/>
    </row>
    <row r="185" spans="15:17" x14ac:dyDescent="0.35">
      <c r="O185" s="169"/>
      <c r="P185" s="169"/>
      <c r="Q185" s="169"/>
    </row>
    <row r="186" spans="15:17" x14ac:dyDescent="0.35">
      <c r="O186" s="169"/>
      <c r="P186" s="169"/>
      <c r="Q186" s="169"/>
    </row>
    <row r="187" spans="15:17" x14ac:dyDescent="0.35">
      <c r="O187" s="169"/>
      <c r="P187" s="169"/>
      <c r="Q187" s="169"/>
    </row>
    <row r="188" spans="15:17" x14ac:dyDescent="0.35">
      <c r="O188" s="169"/>
      <c r="P188" s="169"/>
      <c r="Q188" s="169"/>
    </row>
    <row r="189" spans="15:17" x14ac:dyDescent="0.35">
      <c r="O189" s="169"/>
      <c r="P189" s="169"/>
      <c r="Q189" s="169"/>
    </row>
    <row r="190" spans="15:17" x14ac:dyDescent="0.35">
      <c r="O190" s="169"/>
      <c r="P190" s="169"/>
      <c r="Q190" s="169"/>
    </row>
    <row r="191" spans="15:17" x14ac:dyDescent="0.35">
      <c r="O191" s="169"/>
      <c r="P191" s="169"/>
      <c r="Q191" s="169"/>
    </row>
    <row r="192" spans="15:17" x14ac:dyDescent="0.35">
      <c r="O192" s="169"/>
      <c r="P192" s="169"/>
      <c r="Q192" s="169"/>
    </row>
    <row r="193" spans="15:17" x14ac:dyDescent="0.35">
      <c r="O193" s="169"/>
      <c r="P193" s="169"/>
      <c r="Q193" s="169"/>
    </row>
    <row r="194" spans="15:17" x14ac:dyDescent="0.35">
      <c r="O194" s="169"/>
      <c r="P194" s="169"/>
      <c r="Q194" s="169"/>
    </row>
    <row r="195" spans="15:17" x14ac:dyDescent="0.35">
      <c r="O195" s="169"/>
      <c r="P195" s="169"/>
      <c r="Q195" s="169"/>
    </row>
    <row r="196" spans="15:17" x14ac:dyDescent="0.35">
      <c r="O196" s="169"/>
      <c r="P196" s="169"/>
      <c r="Q196" s="169"/>
    </row>
    <row r="197" spans="15:17" x14ac:dyDescent="0.35">
      <c r="O197" s="169"/>
      <c r="P197" s="169"/>
      <c r="Q197" s="169"/>
    </row>
    <row r="198" spans="15:17" x14ac:dyDescent="0.35">
      <c r="O198" s="169"/>
      <c r="P198" s="169"/>
      <c r="Q198" s="169"/>
    </row>
    <row r="199" spans="15:17" x14ac:dyDescent="0.35">
      <c r="O199" s="283"/>
      <c r="P199" s="169"/>
      <c r="Q199" s="169"/>
    </row>
    <row r="200" spans="15:17" x14ac:dyDescent="0.35">
      <c r="P200" s="169"/>
      <c r="Q200" s="169"/>
    </row>
    <row r="201" spans="15:17" x14ac:dyDescent="0.35">
      <c r="P201" s="283"/>
      <c r="Q201" s="283"/>
    </row>
  </sheetData>
  <sortState xmlns:xlrd2="http://schemas.microsoft.com/office/spreadsheetml/2017/richdata2" ref="L4:N80">
    <sortCondition ref="L4:L80"/>
  </sortState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4"/>
  <dimension ref="B1:D11"/>
  <sheetViews>
    <sheetView workbookViewId="0">
      <selection activeCell="C16" sqref="C16"/>
    </sheetView>
  </sheetViews>
  <sheetFormatPr baseColWidth="10" defaultRowHeight="18" x14ac:dyDescent="0.5"/>
  <cols>
    <col min="2" max="2" width="20.88671875" customWidth="1"/>
    <col min="3" max="3" width="36.88671875" customWidth="1"/>
    <col min="4" max="4" width="51.6640625" customWidth="1"/>
  </cols>
  <sheetData>
    <row r="1" spans="2:4" ht="14.4" customHeight="1" x14ac:dyDescent="0.5">
      <c r="B1" s="374" t="s">
        <v>505</v>
      </c>
      <c r="C1" s="374"/>
      <c r="D1" s="374"/>
    </row>
    <row r="2" spans="2:4" ht="14.4" customHeight="1" x14ac:dyDescent="0.5">
      <c r="B2" s="374"/>
      <c r="C2" s="374"/>
      <c r="D2" s="374"/>
    </row>
    <row r="3" spans="2:4" x14ac:dyDescent="0.5">
      <c r="B3" s="374"/>
      <c r="C3" s="374"/>
      <c r="D3" s="374"/>
    </row>
    <row r="4" spans="2:4" ht="36" thickBot="1" x14ac:dyDescent="0.85">
      <c r="B4" s="23"/>
      <c r="C4" s="23"/>
      <c r="D4" s="23"/>
    </row>
    <row r="5" spans="2:4" ht="44.4" customHeight="1" thickBot="1" x14ac:dyDescent="0.55000000000000004">
      <c r="B5" s="195" t="s">
        <v>116</v>
      </c>
      <c r="C5" s="196">
        <v>2863699</v>
      </c>
      <c r="D5" s="371">
        <f>SUM(C5:C8)</f>
        <v>7313479</v>
      </c>
    </row>
    <row r="6" spans="2:4" ht="36.9" customHeight="1" thickBot="1" x14ac:dyDescent="0.55000000000000004">
      <c r="B6" s="197" t="s">
        <v>117</v>
      </c>
      <c r="C6" s="196">
        <v>1944990</v>
      </c>
      <c r="D6" s="372"/>
    </row>
    <row r="7" spans="2:4" ht="39.9" customHeight="1" thickBot="1" x14ac:dyDescent="0.55000000000000004">
      <c r="B7" s="198" t="s">
        <v>118</v>
      </c>
      <c r="C7" s="196">
        <v>2434790</v>
      </c>
      <c r="D7" s="372"/>
    </row>
    <row r="8" spans="2:4" ht="30.6" thickBot="1" x14ac:dyDescent="0.55000000000000004">
      <c r="B8" s="199" t="s">
        <v>123</v>
      </c>
      <c r="C8" s="196">
        <v>70000</v>
      </c>
      <c r="D8" s="373"/>
    </row>
    <row r="9" spans="2:4" ht="35.4" x14ac:dyDescent="0.8">
      <c r="B9" s="23"/>
      <c r="C9" s="23"/>
      <c r="D9" s="24"/>
    </row>
    <row r="10" spans="2:4" ht="35.4" x14ac:dyDescent="0.8">
      <c r="B10" s="25"/>
      <c r="C10" s="23"/>
      <c r="D10" s="23"/>
    </row>
    <row r="11" spans="2:4" ht="24" x14ac:dyDescent="0.5">
      <c r="B11" s="22"/>
      <c r="C11" s="21"/>
    </row>
  </sheetData>
  <mergeCells count="2">
    <mergeCell ref="D5:D8"/>
    <mergeCell ref="B1:D3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TOUPAH V1</vt:lpstr>
      <vt:lpstr>TOUPAH V2</vt:lpstr>
      <vt:lpstr>TOUPAH V3</vt:lpstr>
      <vt:lpstr>LAVAGE CITERNE</vt:lpstr>
      <vt:lpstr>TOUPAH V4</vt:lpstr>
      <vt:lpstr>BALLET</vt:lpstr>
      <vt:lpstr>EKO PAF</vt:lpstr>
      <vt:lpstr>TIEVIESSOU</vt:lpstr>
      <vt:lpstr>DIVO</vt:lpstr>
      <vt:lpstr>BETTIE</vt:lpstr>
      <vt:lpstr>BONGO</vt:lpstr>
      <vt:lpstr>MOTARD TPH-ORU</vt:lpstr>
      <vt:lpstr>ETAT FINAL</vt:lpstr>
      <vt:lpstr>CUMUL DES 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TIMITE Ahmed Abdoul-Razak</cp:lastModifiedBy>
  <cp:lastPrinted>2025-11-05T12:15:06Z</cp:lastPrinted>
  <dcterms:created xsi:type="dcterms:W3CDTF">2024-01-18T10:23:59Z</dcterms:created>
  <dcterms:modified xsi:type="dcterms:W3CDTF">2026-06-24T15:55:16Z</dcterms:modified>
</cp:coreProperties>
</file>